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beusc-my.sharepoint.com/personal/mariaperez_lago_usc_es/Documents/Paper_Texto_Livre/"/>
    </mc:Choice>
  </mc:AlternateContent>
  <xr:revisionPtr revIDLastSave="0" documentId="8_{DF256A00-96DD-432B-88EF-4A6617157DC0}" xr6:coauthVersionLast="47" xr6:coauthVersionMax="47" xr10:uidLastSave="{00000000-0000-0000-0000-000000000000}"/>
  <bookViews>
    <workbookView xWindow="-110" yWindow="-110" windowWidth="19420" windowHeight="10300" activeTab="1" xr2:uid="{1E2B7BE1-6CBF-42EB-BCE2-F91395A65CD5}"/>
  </bookViews>
  <sheets>
    <sheet name="resultados perceptivos" sheetId="1" r:id="rId1"/>
    <sheet name="participan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U51" i="1" l="1"/>
  <c r="BU50" i="1"/>
  <c r="BU49" i="1"/>
  <c r="BU48" i="1"/>
  <c r="BU47" i="1"/>
  <c r="BU46" i="1"/>
  <c r="BU45" i="1"/>
  <c r="BU44" i="1"/>
  <c r="BU43" i="1"/>
  <c r="BU42" i="1"/>
  <c r="BU41" i="1"/>
  <c r="BU40" i="1"/>
  <c r="BU39" i="1"/>
  <c r="BU38" i="1"/>
  <c r="BU37" i="1"/>
  <c r="BU36" i="1"/>
  <c r="BU35" i="1"/>
  <c r="BU34" i="1"/>
  <c r="BU33" i="1"/>
  <c r="BU32" i="1"/>
  <c r="BU31" i="1"/>
  <c r="BU30" i="1"/>
  <c r="BU29" i="1"/>
  <c r="BU28" i="1"/>
  <c r="BU27" i="1"/>
  <c r="BU26" i="1"/>
  <c r="BU25" i="1"/>
  <c r="BU24" i="1"/>
  <c r="BU22" i="1"/>
  <c r="BU21" i="1"/>
  <c r="BU20" i="1"/>
  <c r="BU19" i="1"/>
  <c r="BU18" i="1"/>
  <c r="BU17" i="1"/>
  <c r="BU16" i="1"/>
  <c r="BU15" i="1"/>
  <c r="BU14" i="1"/>
  <c r="BU13" i="1"/>
  <c r="BU12" i="1"/>
  <c r="BU11" i="1"/>
  <c r="BU10" i="1"/>
  <c r="BU9" i="1"/>
  <c r="BU8" i="1"/>
  <c r="BU7" i="1"/>
  <c r="BU6" i="1"/>
  <c r="BU5" i="1"/>
  <c r="BU4" i="1"/>
  <c r="BU3" i="1"/>
  <c r="BU2" i="1"/>
</calcChain>
</file>

<file path=xl/sharedStrings.xml><?xml version="1.0" encoding="utf-8"?>
<sst xmlns="http://schemas.openxmlformats.org/spreadsheetml/2006/main" count="2154" uniqueCount="162">
  <si>
    <t>Xuízos</t>
  </si>
  <si>
    <t>ID_1</t>
  </si>
  <si>
    <t>ID_2</t>
  </si>
  <si>
    <t>ID_3</t>
  </si>
  <si>
    <t>ID_4</t>
  </si>
  <si>
    <t>ID_5</t>
  </si>
  <si>
    <t>ID_6</t>
  </si>
  <si>
    <t>ID_7</t>
  </si>
  <si>
    <t>ID_8</t>
  </si>
  <si>
    <t>ID_9</t>
  </si>
  <si>
    <t>ID_10</t>
  </si>
  <si>
    <t>ID_11</t>
  </si>
  <si>
    <t>ID_12</t>
  </si>
  <si>
    <t>ID_13</t>
  </si>
  <si>
    <t>ID_14</t>
  </si>
  <si>
    <t>ID_15</t>
  </si>
  <si>
    <t>ID_16</t>
  </si>
  <si>
    <t>ID_17</t>
  </si>
  <si>
    <t>ID_18</t>
  </si>
  <si>
    <t>ID_19</t>
  </si>
  <si>
    <t>ID_20</t>
  </si>
  <si>
    <t>ID_21</t>
  </si>
  <si>
    <t>ID_22</t>
  </si>
  <si>
    <t>ID_23</t>
  </si>
  <si>
    <t>ID_24</t>
  </si>
  <si>
    <t>ID_25</t>
  </si>
  <si>
    <t>ID_26</t>
  </si>
  <si>
    <t>ID_27</t>
  </si>
  <si>
    <t>ID_28</t>
  </si>
  <si>
    <t>ID_29</t>
  </si>
  <si>
    <t>ID_30</t>
  </si>
  <si>
    <t>En suspenso (con puntos suspensivos)</t>
  </si>
  <si>
    <t>En suspenso</t>
  </si>
  <si>
    <t xml:space="preserve">En suspenso </t>
  </si>
  <si>
    <t>En suspenso (con puntos suspensivos)suspensivos)</t>
  </si>
  <si>
    <t>Declarativa</t>
  </si>
  <si>
    <t>Exclamativa</t>
  </si>
  <si>
    <t>Interrogativa</t>
  </si>
  <si>
    <t xml:space="preserve">Declarativa </t>
  </si>
  <si>
    <t>id</t>
  </si>
  <si>
    <t>data_intento</t>
  </si>
  <si>
    <t>Xénero</t>
  </si>
  <si>
    <t>Idade</t>
  </si>
  <si>
    <t>Lingua na que aprendiches a falar</t>
  </si>
  <si>
    <t>Lingua na que falas habitualmente</t>
  </si>
  <si>
    <t>Nivel de estudos</t>
  </si>
  <si>
    <t>Formación específica en lingüística ou filoloxía</t>
  </si>
  <si>
    <t>Coñecemento e experiencia nas tecnoloxías da fala</t>
  </si>
  <si>
    <t>Equipamento de audición durante a realización da proba.</t>
  </si>
  <si>
    <t>09/07/2026 - 23:06:42</t>
  </si>
  <si>
    <t>Muller</t>
  </si>
  <si>
    <t>Entre 36 e 50 anos</t>
  </si>
  <si>
    <t>Castelán</t>
  </si>
  <si>
    <t>Galego</t>
  </si>
  <si>
    <t>Estudos superiores (diplomatura, licenciatura, FP superior, grao, mestrado, doutoramento)</t>
  </si>
  <si>
    <t>Non</t>
  </si>
  <si>
    <t>Usuario/a das tecnoloxías da fala</t>
  </si>
  <si>
    <t>Altofalantes normais</t>
  </si>
  <si>
    <t>11/07/2026 - 19:43:24</t>
  </si>
  <si>
    <t>Menos de 20 anos</t>
  </si>
  <si>
    <t>Ningún/ningunha</t>
  </si>
  <si>
    <t>Auriculares normais</t>
  </si>
  <si>
    <t>13/07/2026 - 11:39:23</t>
  </si>
  <si>
    <t>Entre 20 e 35 anos</t>
  </si>
  <si>
    <t>Si, en lingüística ou filoloxía galega</t>
  </si>
  <si>
    <t>19/08/2026 - 12:02:12</t>
  </si>
  <si>
    <t>13/07/2026 - 15:35:18</t>
  </si>
  <si>
    <t>29/07/2026 - 11:51:43</t>
  </si>
  <si>
    <t>Home</t>
  </si>
  <si>
    <t>Experto</t>
  </si>
  <si>
    <t>Auriculares de boa calidade</t>
  </si>
  <si>
    <t>09/07/2026 - 23:53:12</t>
  </si>
  <si>
    <t>Entre 51 e 65 anos</t>
  </si>
  <si>
    <t>28/07/2026 - 15:59:56</t>
  </si>
  <si>
    <t>10/07/2026 - 13:18:42</t>
  </si>
  <si>
    <t>22/06/2026 - 10:58:31</t>
  </si>
  <si>
    <t>24/07/2026 - 13:26:41</t>
  </si>
  <si>
    <t>Altofalantes de boa calidade</t>
  </si>
  <si>
    <t>24/07/2026 - 13:36:05</t>
  </si>
  <si>
    <t>28/07/2026 - 07:38:48</t>
  </si>
  <si>
    <t>Máis de 65 anos</t>
  </si>
  <si>
    <t>09/07/2026 - 22:49:58</t>
  </si>
  <si>
    <t>13/07/2026 - 16:04:00</t>
  </si>
  <si>
    <t>13/07/2026 - 10:49:54</t>
  </si>
  <si>
    <t>Si, noutras linguas</t>
  </si>
  <si>
    <t>09/07/2026 - 22:21:55</t>
  </si>
  <si>
    <t>03/08/2026 - 13:08:20</t>
  </si>
  <si>
    <t>28/07/2026 - 15:04:35</t>
  </si>
  <si>
    <t>11/07/2026 - 19:52:32</t>
  </si>
  <si>
    <t>17/08/2026 - 09:47:15</t>
  </si>
  <si>
    <t>17/07/2026 - 11:07:07</t>
  </si>
  <si>
    <t>11/07/2026 - 00:10:26</t>
  </si>
  <si>
    <t>10/07/2026 - 18:45:14</t>
  </si>
  <si>
    <t>09/07/2026 - 22:33:12</t>
  </si>
  <si>
    <t>10/07/2026 - 16:13:03</t>
  </si>
  <si>
    <t>12/07/2026 - 18:08:21</t>
  </si>
  <si>
    <t>31/07/2026 - 11:57:22</t>
  </si>
  <si>
    <t>29/07/2026 - 16:53:47</t>
  </si>
  <si>
    <t>10/07/2026 - 00:21:49</t>
  </si>
  <si>
    <t>ID_31</t>
  </si>
  <si>
    <t>Estimulo</t>
  </si>
  <si>
    <t>Cat. Modalidade oracional</t>
  </si>
  <si>
    <t>crpih_uvigo_gl_iago_b_00315.wav</t>
  </si>
  <si>
    <t>crpih_uvigo_gl_iago_b_00320.wav</t>
  </si>
  <si>
    <t>crpih_uvigo_gl_iago_b_00329.wav</t>
  </si>
  <si>
    <t>crpih_uvigo_gl_paulo_b_00315.wav</t>
  </si>
  <si>
    <t>crpih_uvigo_gl_paulo_b_00320.wav</t>
  </si>
  <si>
    <t>crpih_uvigo_gl_paulo_b_00329.wav</t>
  </si>
  <si>
    <t>NosTts-crpih_uvigo_gl_iago_b_00315.wav</t>
  </si>
  <si>
    <t>NosTts-crpih_uvigo_gl_iago_b_00320.wav</t>
  </si>
  <si>
    <t>NosTts-crpih_uvigo_gl_iago_b_00329.wav</t>
  </si>
  <si>
    <t>NosTts_crpih_uvigo_gl_paulo_b_00315.wav</t>
  </si>
  <si>
    <t>NosTts-crpih_uvigo_gl_paulo_b_00320.wav</t>
  </si>
  <si>
    <t>NosTts-crpih_uvigo_gl_paulo_b_00329.wav</t>
  </si>
  <si>
    <t>crpih_uvigo_gl_iago_a_00727.wav</t>
  </si>
  <si>
    <t>crpih_uvigo_gl_iago_b_00355.wav</t>
  </si>
  <si>
    <t>crpih_uvigo_gl_iago_b_00358.wav</t>
  </si>
  <si>
    <t>crpih_uvigo_gl_paulo_a_00727.wav</t>
  </si>
  <si>
    <t>crpih_uvigo_gl_paulo_b_00355.wav</t>
  </si>
  <si>
    <t>crpih_uvigo_gl_paulo_b_00358.wav</t>
  </si>
  <si>
    <t>NosTts-crpih_uvigo_gl_iago_a_00727.wav</t>
  </si>
  <si>
    <t>NosTts-crpih_uvigo_gl_iago_b_00355.wav</t>
  </si>
  <si>
    <t>NosTts-crpih_uvigo_gl_iago_b_00358.wav</t>
  </si>
  <si>
    <t>NosTts-crpih_uvigo_gl_paulo_a_00727.wav</t>
  </si>
  <si>
    <t>NosTts-crpih_uvigo_gl_paulo_b_00355.wav</t>
  </si>
  <si>
    <t>NosTts-crpih_uvigo_gl_paulo_b_00358.wav</t>
  </si>
  <si>
    <t>crpih_uvigo_gl_iago_a_00536.wav</t>
  </si>
  <si>
    <t>crpih_uvigo_gl_iago_a_00538.wav</t>
  </si>
  <si>
    <t>crpih_uvigo_gl_iago_b_00425.wav</t>
  </si>
  <si>
    <t>crpih_uvigo_gl_paulo_a_00536.wav</t>
  </si>
  <si>
    <t>crpih_uvigo_gl_paulo_a_00538.wav</t>
  </si>
  <si>
    <t>crpih_uvigo_gl_paulo_b_00425.wav</t>
  </si>
  <si>
    <t>NosTts-crpih_uvigo_gl_iago_a_00536.wav</t>
  </si>
  <si>
    <t>NosTts-crpih_uvigo_gl_iago_a_00538.wav</t>
  </si>
  <si>
    <t>NosTts-crpih_uvigo_gl_iago_b_00425.wav</t>
  </si>
  <si>
    <t>NosTts-crpih_uvigo_gl_paulo_a_00536.wav</t>
  </si>
  <si>
    <t>NosTts-crpih_uvigo_gl_paulo_a_00538.wav</t>
  </si>
  <si>
    <t>NosTts-crpih_uvigo_gl_paulo_b_00425.wav</t>
  </si>
  <si>
    <t>declarativa_brais.wav</t>
  </si>
  <si>
    <t>en suspenso_Brais.wav</t>
  </si>
  <si>
    <t>exclamativa_Brais.wav</t>
  </si>
  <si>
    <t>interrogativa_Brais.wav</t>
  </si>
  <si>
    <t>Brais_distractor(2).wav</t>
  </si>
  <si>
    <t>Brais_distractor.wav</t>
  </si>
  <si>
    <t>crpih_uvigo_gl_iago_a_00003.wav</t>
  </si>
  <si>
    <t>crpih_uvigo_gl_iago_a_00019.wav</t>
  </si>
  <si>
    <t>crpih_uvigo_gl_paulo_a_00003.wav</t>
  </si>
  <si>
    <t>crpih_uvigo_gl_paulo_a_00019.wav</t>
  </si>
  <si>
    <t>NosTts-crpih_uvigo_gl_iago_a_00003.wav</t>
  </si>
  <si>
    <t>NosTts-crpih_uvigo_gl_iago_a_00019.wav</t>
  </si>
  <si>
    <t>NosTts-crpih_uvigo_gl_paulo_a_00003.wav</t>
  </si>
  <si>
    <t>NosTts-crpih_uvigo_gl_paulo_a_00019.wav</t>
  </si>
  <si>
    <t>ID_32</t>
  </si>
  <si>
    <t>ID_33</t>
  </si>
  <si>
    <t>ID_34</t>
  </si>
  <si>
    <t>MEDIA da tipoloxía á que corresponde</t>
  </si>
  <si>
    <t>Outra</t>
  </si>
  <si>
    <t>01/09/2026 - 13:02:31</t>
  </si>
  <si>
    <t>26/08/2026 - 02:13:44</t>
  </si>
  <si>
    <t>31/08/2026 - 16:54:45</t>
  </si>
  <si>
    <t>01/09/2026 - 17:13:18</t>
  </si>
  <si>
    <t>Estudos medios ou secundarios (BUP, COU, ESO, Bacharelato, FP básica, FP media)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</si>
</sst>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C58C1-7763-4B06-86B9-D56FA07A74CB}">
  <dimension ref="A1:BU51"/>
  <sheetViews>
    <sheetView zoomScale="66" workbookViewId="0">
      <selection activeCell="BU1" sqref="BU1"/>
    </sheetView>
  </sheetViews>
  <sheetFormatPr defaultRowHeight="14.5" x14ac:dyDescent="0.35"/>
  <cols>
    <col min="1" max="1" width="8.7265625" style="3"/>
    <col min="2" max="2" width="33.7265625" style="3" customWidth="1"/>
    <col min="3" max="3" width="25.08984375" style="3" customWidth="1"/>
  </cols>
  <sheetData>
    <row r="1" spans="1:73" x14ac:dyDescent="0.35">
      <c r="A1" s="3" t="s">
        <v>0</v>
      </c>
      <c r="B1" s="3" t="s">
        <v>100</v>
      </c>
      <c r="C1" s="3" t="s">
        <v>101</v>
      </c>
      <c r="D1" t="s">
        <v>1</v>
      </c>
      <c r="F1" t="s">
        <v>2</v>
      </c>
      <c r="H1" t="s">
        <v>3</v>
      </c>
      <c r="J1" t="s">
        <v>4</v>
      </c>
      <c r="L1" t="s">
        <v>5</v>
      </c>
      <c r="N1" t="s">
        <v>6</v>
      </c>
      <c r="P1" t="s">
        <v>7</v>
      </c>
      <c r="R1" t="s">
        <v>8</v>
      </c>
      <c r="T1" t="s">
        <v>9</v>
      </c>
      <c r="V1" t="s">
        <v>10</v>
      </c>
      <c r="X1" t="s">
        <v>11</v>
      </c>
      <c r="Z1" t="s">
        <v>12</v>
      </c>
      <c r="AB1" t="s">
        <v>13</v>
      </c>
      <c r="AD1" t="s">
        <v>14</v>
      </c>
      <c r="AF1" t="s">
        <v>15</v>
      </c>
      <c r="AH1" s="3" t="s">
        <v>16</v>
      </c>
      <c r="AJ1" t="s">
        <v>17</v>
      </c>
      <c r="AL1" t="s">
        <v>18</v>
      </c>
      <c r="AN1" s="3" t="s">
        <v>19</v>
      </c>
      <c r="AP1" t="s">
        <v>20</v>
      </c>
      <c r="AR1" t="s">
        <v>21</v>
      </c>
      <c r="AT1" t="s">
        <v>22</v>
      </c>
      <c r="AV1" t="s">
        <v>23</v>
      </c>
      <c r="AX1" t="s">
        <v>24</v>
      </c>
      <c r="AZ1" t="s">
        <v>25</v>
      </c>
      <c r="BB1" t="s">
        <v>26</v>
      </c>
      <c r="BD1" t="s">
        <v>27</v>
      </c>
      <c r="BF1" t="s">
        <v>28</v>
      </c>
      <c r="BH1" t="s">
        <v>29</v>
      </c>
      <c r="BJ1" t="s">
        <v>30</v>
      </c>
      <c r="BL1" t="s">
        <v>99</v>
      </c>
      <c r="BN1" t="s">
        <v>152</v>
      </c>
      <c r="BP1" t="s">
        <v>153</v>
      </c>
      <c r="BR1" t="s">
        <v>154</v>
      </c>
      <c r="BU1" s="3" t="s">
        <v>155</v>
      </c>
    </row>
    <row r="2" spans="1:73" x14ac:dyDescent="0.35">
      <c r="A2" s="3">
        <v>1</v>
      </c>
      <c r="B2" s="3" t="s">
        <v>102</v>
      </c>
      <c r="C2" s="3" t="s">
        <v>31</v>
      </c>
      <c r="D2" t="s">
        <v>31</v>
      </c>
      <c r="E2">
        <v>3</v>
      </c>
      <c r="F2" t="s">
        <v>32</v>
      </c>
      <c r="G2">
        <v>4</v>
      </c>
      <c r="H2" t="s">
        <v>32</v>
      </c>
      <c r="I2">
        <v>2</v>
      </c>
      <c r="J2" t="s">
        <v>33</v>
      </c>
      <c r="K2">
        <v>5</v>
      </c>
      <c r="L2" t="s">
        <v>32</v>
      </c>
      <c r="M2">
        <v>4</v>
      </c>
      <c r="N2" t="s">
        <v>32</v>
      </c>
      <c r="O2">
        <v>5</v>
      </c>
      <c r="P2" t="s">
        <v>32</v>
      </c>
      <c r="Q2">
        <v>4</v>
      </c>
      <c r="R2" t="s">
        <v>32</v>
      </c>
      <c r="S2">
        <v>5</v>
      </c>
      <c r="T2" t="s">
        <v>32</v>
      </c>
      <c r="U2">
        <v>3</v>
      </c>
      <c r="V2" t="s">
        <v>32</v>
      </c>
      <c r="W2">
        <v>5</v>
      </c>
      <c r="X2" t="s">
        <v>34</v>
      </c>
      <c r="Y2">
        <v>4</v>
      </c>
      <c r="Z2" t="s">
        <v>32</v>
      </c>
      <c r="AA2">
        <v>4</v>
      </c>
      <c r="AB2" t="s">
        <v>32</v>
      </c>
      <c r="AC2">
        <v>5</v>
      </c>
      <c r="AD2" t="s">
        <v>32</v>
      </c>
      <c r="AE2">
        <v>3</v>
      </c>
      <c r="AF2" t="s">
        <v>32</v>
      </c>
      <c r="AG2">
        <v>4</v>
      </c>
      <c r="AH2" t="s">
        <v>32</v>
      </c>
      <c r="AI2">
        <v>5</v>
      </c>
      <c r="AJ2" t="s">
        <v>32</v>
      </c>
      <c r="AK2">
        <v>5</v>
      </c>
      <c r="AL2" t="s">
        <v>32</v>
      </c>
      <c r="AM2">
        <v>5</v>
      </c>
      <c r="AN2" t="s">
        <v>32</v>
      </c>
      <c r="AO2">
        <v>1</v>
      </c>
      <c r="AP2" t="s">
        <v>32</v>
      </c>
      <c r="AQ2">
        <v>4</v>
      </c>
      <c r="AR2" t="s">
        <v>32</v>
      </c>
      <c r="AS2">
        <v>2</v>
      </c>
      <c r="AT2" t="s">
        <v>32</v>
      </c>
      <c r="AU2">
        <v>4</v>
      </c>
      <c r="AV2" t="s">
        <v>32</v>
      </c>
      <c r="AW2">
        <v>3</v>
      </c>
      <c r="AX2" t="s">
        <v>32</v>
      </c>
      <c r="AY2">
        <v>5</v>
      </c>
      <c r="AZ2" t="s">
        <v>32</v>
      </c>
      <c r="BA2">
        <v>4</v>
      </c>
      <c r="BB2" t="s">
        <v>32</v>
      </c>
      <c r="BC2">
        <v>5</v>
      </c>
      <c r="BD2" t="s">
        <v>32</v>
      </c>
      <c r="BE2">
        <v>2</v>
      </c>
      <c r="BF2" t="s">
        <v>32</v>
      </c>
      <c r="BG2">
        <v>5</v>
      </c>
      <c r="BH2" t="s">
        <v>33</v>
      </c>
      <c r="BI2">
        <v>4</v>
      </c>
      <c r="BJ2" t="s">
        <v>32</v>
      </c>
      <c r="BK2">
        <v>2</v>
      </c>
      <c r="BL2" t="s">
        <v>32</v>
      </c>
      <c r="BM2">
        <v>5</v>
      </c>
      <c r="BN2" t="s">
        <v>32</v>
      </c>
      <c r="BO2">
        <v>5</v>
      </c>
      <c r="BP2" s="1" t="s">
        <v>37</v>
      </c>
      <c r="BQ2" s="1">
        <v>2</v>
      </c>
      <c r="BR2" s="1" t="s">
        <v>36</v>
      </c>
      <c r="BS2" s="1">
        <v>5</v>
      </c>
      <c r="BU2">
        <f>AVERAGE(BO2,BM2,BK2,BI2,BG2,BE2,BC2,BA2,AY2,AW2,AU2,AS2,AQ2,AO2,AM2,AK2,AI2,AG2,AE2,AC2,AA2,Y2,W2,U2,S2,Q2,O2,M2,K2,I2,G2,E2)</f>
        <v>3.9375</v>
      </c>
    </row>
    <row r="3" spans="1:73" x14ac:dyDescent="0.35">
      <c r="A3" s="3">
        <v>2</v>
      </c>
      <c r="B3" s="3" t="s">
        <v>103</v>
      </c>
      <c r="C3" s="3" t="s">
        <v>31</v>
      </c>
      <c r="D3" t="s">
        <v>31</v>
      </c>
      <c r="E3">
        <v>4</v>
      </c>
      <c r="F3" t="s">
        <v>32</v>
      </c>
      <c r="G3">
        <v>4</v>
      </c>
      <c r="H3" t="s">
        <v>32</v>
      </c>
      <c r="I3">
        <v>5</v>
      </c>
      <c r="J3" s="1" t="s">
        <v>35</v>
      </c>
      <c r="K3" s="1">
        <v>4</v>
      </c>
      <c r="L3" t="s">
        <v>32</v>
      </c>
      <c r="M3">
        <v>3</v>
      </c>
      <c r="N3" s="1" t="s">
        <v>36</v>
      </c>
      <c r="O3" s="1">
        <v>4</v>
      </c>
      <c r="P3" t="s">
        <v>32</v>
      </c>
      <c r="Q3">
        <v>3</v>
      </c>
      <c r="R3" t="s">
        <v>32</v>
      </c>
      <c r="S3">
        <v>3</v>
      </c>
      <c r="T3" t="s">
        <v>32</v>
      </c>
      <c r="U3">
        <v>4</v>
      </c>
      <c r="V3" t="s">
        <v>32</v>
      </c>
      <c r="W3">
        <v>5</v>
      </c>
      <c r="X3" t="s">
        <v>34</v>
      </c>
      <c r="Y3">
        <v>4</v>
      </c>
      <c r="Z3" t="s">
        <v>32</v>
      </c>
      <c r="AA3">
        <v>4</v>
      </c>
      <c r="AB3" t="s">
        <v>32</v>
      </c>
      <c r="AC3">
        <v>4</v>
      </c>
      <c r="AD3" t="s">
        <v>32</v>
      </c>
      <c r="AE3">
        <v>3</v>
      </c>
      <c r="AF3" t="s">
        <v>32</v>
      </c>
      <c r="AG3">
        <v>5</v>
      </c>
      <c r="AH3" t="s">
        <v>32</v>
      </c>
      <c r="AI3">
        <v>5</v>
      </c>
      <c r="AJ3" t="s">
        <v>32</v>
      </c>
      <c r="AK3">
        <v>2</v>
      </c>
      <c r="AL3" t="s">
        <v>32</v>
      </c>
      <c r="AM3">
        <v>5</v>
      </c>
      <c r="AN3" t="s">
        <v>32</v>
      </c>
      <c r="AO3">
        <v>1</v>
      </c>
      <c r="AP3" t="s">
        <v>32</v>
      </c>
      <c r="AQ3">
        <v>1</v>
      </c>
      <c r="AR3" t="s">
        <v>32</v>
      </c>
      <c r="AS3">
        <v>1</v>
      </c>
      <c r="AT3" t="s">
        <v>32</v>
      </c>
      <c r="AU3">
        <v>4</v>
      </c>
      <c r="AV3" t="s">
        <v>32</v>
      </c>
      <c r="AW3">
        <v>5</v>
      </c>
      <c r="AX3" t="s">
        <v>32</v>
      </c>
      <c r="AY3">
        <v>5</v>
      </c>
      <c r="AZ3" t="s">
        <v>32</v>
      </c>
      <c r="BA3">
        <v>3</v>
      </c>
      <c r="BB3" t="s">
        <v>32</v>
      </c>
      <c r="BC3">
        <v>4</v>
      </c>
      <c r="BD3" t="s">
        <v>32</v>
      </c>
      <c r="BE3">
        <v>4</v>
      </c>
      <c r="BF3" s="1" t="s">
        <v>35</v>
      </c>
      <c r="BG3" s="1">
        <v>4</v>
      </c>
      <c r="BH3" t="s">
        <v>33</v>
      </c>
      <c r="BI3">
        <v>3</v>
      </c>
      <c r="BJ3" t="s">
        <v>32</v>
      </c>
      <c r="BK3">
        <v>2</v>
      </c>
      <c r="BL3" t="s">
        <v>32</v>
      </c>
      <c r="BM3">
        <v>5</v>
      </c>
      <c r="BN3" t="s">
        <v>32</v>
      </c>
      <c r="BO3">
        <v>5</v>
      </c>
      <c r="BP3" t="s">
        <v>32</v>
      </c>
      <c r="BQ3">
        <v>2</v>
      </c>
      <c r="BR3" t="s">
        <v>32</v>
      </c>
      <c r="BS3">
        <v>5</v>
      </c>
      <c r="BU3">
        <f>AVERAGE(E3,G3,I3,K3,M3,Q3,S3,U3,W3,Y3,AA3,AC3,AE3,AG3,AI3,AK3,AM3,AO3,AQ3,AS3,AU3,AW3,AY3,BA3,BC3,BI3,BK3,BM3,BO3,BQ3,BS3,)</f>
        <v>3.53125</v>
      </c>
    </row>
    <row r="4" spans="1:73" x14ac:dyDescent="0.35">
      <c r="A4" s="3">
        <v>3</v>
      </c>
      <c r="B4" s="3" t="s">
        <v>104</v>
      </c>
      <c r="C4" s="3" t="s">
        <v>31</v>
      </c>
      <c r="D4" t="s">
        <v>31</v>
      </c>
      <c r="E4">
        <v>2</v>
      </c>
      <c r="F4" s="1" t="s">
        <v>35</v>
      </c>
      <c r="G4" s="1">
        <v>4</v>
      </c>
      <c r="H4" s="1" t="s">
        <v>36</v>
      </c>
      <c r="I4" s="1">
        <v>3</v>
      </c>
      <c r="J4" s="1" t="s">
        <v>35</v>
      </c>
      <c r="K4" s="1">
        <v>4</v>
      </c>
      <c r="L4" s="1" t="s">
        <v>36</v>
      </c>
      <c r="M4" s="1">
        <v>2</v>
      </c>
      <c r="N4" s="1" t="s">
        <v>35</v>
      </c>
      <c r="O4" s="1">
        <v>4</v>
      </c>
      <c r="P4" s="1" t="s">
        <v>35</v>
      </c>
      <c r="Q4" s="1">
        <v>4</v>
      </c>
      <c r="R4" t="s">
        <v>32</v>
      </c>
      <c r="S4">
        <v>5</v>
      </c>
      <c r="T4" t="s">
        <v>32</v>
      </c>
      <c r="U4">
        <v>4</v>
      </c>
      <c r="V4" s="1" t="s">
        <v>35</v>
      </c>
      <c r="W4" s="1">
        <v>3</v>
      </c>
      <c r="X4" t="s">
        <v>34</v>
      </c>
      <c r="Y4">
        <v>3</v>
      </c>
      <c r="Z4" s="1" t="s">
        <v>35</v>
      </c>
      <c r="AA4" s="1">
        <v>3</v>
      </c>
      <c r="AB4" s="1" t="s">
        <v>36</v>
      </c>
      <c r="AC4" s="1">
        <v>3</v>
      </c>
      <c r="AD4" s="1" t="s">
        <v>35</v>
      </c>
      <c r="AE4" s="1">
        <v>2</v>
      </c>
      <c r="AF4" s="1" t="s">
        <v>36</v>
      </c>
      <c r="AG4" s="1">
        <v>2</v>
      </c>
      <c r="AH4" s="1" t="s">
        <v>36</v>
      </c>
      <c r="AI4" s="1">
        <v>2</v>
      </c>
      <c r="AJ4" s="1" t="s">
        <v>36</v>
      </c>
      <c r="AK4" s="1">
        <v>1</v>
      </c>
      <c r="AL4" s="1" t="s">
        <v>36</v>
      </c>
      <c r="AM4" s="1">
        <v>3</v>
      </c>
      <c r="AN4" s="1" t="s">
        <v>37</v>
      </c>
      <c r="AO4" s="1">
        <v>1</v>
      </c>
      <c r="AP4" s="1" t="s">
        <v>35</v>
      </c>
      <c r="AQ4" s="1">
        <v>3</v>
      </c>
      <c r="AR4" s="1" t="s">
        <v>35</v>
      </c>
      <c r="AS4" s="1">
        <v>3</v>
      </c>
      <c r="AT4" s="1" t="s">
        <v>35</v>
      </c>
      <c r="AU4" s="1">
        <v>4</v>
      </c>
      <c r="AV4" t="s">
        <v>32</v>
      </c>
      <c r="AW4">
        <v>2</v>
      </c>
      <c r="AX4" s="1" t="s">
        <v>35</v>
      </c>
      <c r="AY4" s="1">
        <v>4</v>
      </c>
      <c r="AZ4" t="s">
        <v>32</v>
      </c>
      <c r="BA4">
        <v>4</v>
      </c>
      <c r="BB4" t="s">
        <v>32</v>
      </c>
      <c r="BC4">
        <v>3</v>
      </c>
      <c r="BD4" t="s">
        <v>32</v>
      </c>
      <c r="BE4">
        <v>2</v>
      </c>
      <c r="BF4" s="1" t="s">
        <v>36</v>
      </c>
      <c r="BG4" s="1">
        <v>4</v>
      </c>
      <c r="BH4" s="1" t="s">
        <v>36</v>
      </c>
      <c r="BI4" s="1">
        <v>2</v>
      </c>
      <c r="BJ4" s="1" t="s">
        <v>36</v>
      </c>
      <c r="BK4" s="1">
        <v>2</v>
      </c>
      <c r="BL4" t="s">
        <v>32</v>
      </c>
      <c r="BM4">
        <v>4</v>
      </c>
      <c r="BN4" s="1" t="s">
        <v>35</v>
      </c>
      <c r="BO4" s="1">
        <v>2</v>
      </c>
      <c r="BP4" s="1" t="s">
        <v>35</v>
      </c>
      <c r="BQ4" s="1">
        <v>1</v>
      </c>
      <c r="BR4" s="1" t="s">
        <v>37</v>
      </c>
      <c r="BS4" s="1">
        <v>2</v>
      </c>
      <c r="BU4">
        <f>AVERAGE(BM4,BE4,BC4,BA4,AW4,Y4,U4,S4,E4)</f>
        <v>3.2222222222222223</v>
      </c>
    </row>
    <row r="5" spans="1:73" x14ac:dyDescent="0.35">
      <c r="A5" s="3">
        <v>4</v>
      </c>
      <c r="B5" s="3" t="s">
        <v>105</v>
      </c>
      <c r="C5" s="3" t="s">
        <v>31</v>
      </c>
      <c r="D5" t="s">
        <v>31</v>
      </c>
      <c r="E5">
        <v>4</v>
      </c>
      <c r="F5" t="s">
        <v>35</v>
      </c>
      <c r="G5">
        <v>4</v>
      </c>
      <c r="H5" t="s">
        <v>32</v>
      </c>
      <c r="I5">
        <v>3</v>
      </c>
      <c r="J5" t="s">
        <v>35</v>
      </c>
      <c r="K5">
        <v>5</v>
      </c>
      <c r="L5" t="s">
        <v>32</v>
      </c>
      <c r="M5">
        <v>2</v>
      </c>
      <c r="N5" s="1" t="s">
        <v>35</v>
      </c>
      <c r="O5" s="1">
        <v>4</v>
      </c>
      <c r="P5" s="1" t="s">
        <v>35</v>
      </c>
      <c r="Q5" s="1">
        <v>4</v>
      </c>
      <c r="R5" s="1" t="s">
        <v>35</v>
      </c>
      <c r="S5" s="1">
        <v>3</v>
      </c>
      <c r="T5" t="s">
        <v>32</v>
      </c>
      <c r="U5">
        <v>3</v>
      </c>
      <c r="V5" s="1" t="s">
        <v>35</v>
      </c>
      <c r="W5" s="1">
        <v>3</v>
      </c>
      <c r="X5" t="s">
        <v>34</v>
      </c>
      <c r="Y5">
        <v>4</v>
      </c>
      <c r="Z5" t="s">
        <v>32</v>
      </c>
      <c r="AA5">
        <v>2</v>
      </c>
      <c r="AB5" t="s">
        <v>32</v>
      </c>
      <c r="AC5">
        <v>3</v>
      </c>
      <c r="AD5" s="1" t="s">
        <v>35</v>
      </c>
      <c r="AE5" s="1">
        <v>2</v>
      </c>
      <c r="AF5" t="s">
        <v>32</v>
      </c>
      <c r="AG5">
        <v>3</v>
      </c>
      <c r="AH5" t="s">
        <v>32</v>
      </c>
      <c r="AI5">
        <v>3</v>
      </c>
      <c r="AJ5" s="1" t="s">
        <v>35</v>
      </c>
      <c r="AK5" s="1">
        <v>3</v>
      </c>
      <c r="AL5" t="s">
        <v>32</v>
      </c>
      <c r="AM5">
        <v>2</v>
      </c>
      <c r="AN5" s="1" t="s">
        <v>35</v>
      </c>
      <c r="AO5" s="1">
        <v>3</v>
      </c>
      <c r="AP5" s="1" t="s">
        <v>35</v>
      </c>
      <c r="AQ5" s="1">
        <v>3</v>
      </c>
      <c r="AR5" t="s">
        <v>32</v>
      </c>
      <c r="AS5">
        <v>2</v>
      </c>
      <c r="AT5" s="1" t="s">
        <v>35</v>
      </c>
      <c r="AU5" s="1">
        <v>5</v>
      </c>
      <c r="AV5" t="s">
        <v>32</v>
      </c>
      <c r="AW5">
        <v>1</v>
      </c>
      <c r="AX5" s="1" t="s">
        <v>35</v>
      </c>
      <c r="AY5" s="1">
        <v>5</v>
      </c>
      <c r="AZ5" t="s">
        <v>32</v>
      </c>
      <c r="BA5">
        <v>2</v>
      </c>
      <c r="BB5" t="s">
        <v>32</v>
      </c>
      <c r="BC5">
        <v>3</v>
      </c>
      <c r="BD5" t="s">
        <v>32</v>
      </c>
      <c r="BE5">
        <v>1</v>
      </c>
      <c r="BF5" s="1" t="s">
        <v>35</v>
      </c>
      <c r="BG5" s="1">
        <v>4</v>
      </c>
      <c r="BH5" t="s">
        <v>33</v>
      </c>
      <c r="BI5">
        <v>2</v>
      </c>
      <c r="BJ5" s="1" t="s">
        <v>35</v>
      </c>
      <c r="BK5" s="1">
        <v>4</v>
      </c>
      <c r="BL5" s="1" t="s">
        <v>36</v>
      </c>
      <c r="BM5" s="1">
        <v>3</v>
      </c>
      <c r="BN5" t="s">
        <v>32</v>
      </c>
      <c r="BO5">
        <v>3</v>
      </c>
      <c r="BP5" s="1" t="s">
        <v>35</v>
      </c>
      <c r="BQ5" s="1">
        <v>3</v>
      </c>
      <c r="BR5" s="1" t="s">
        <v>35</v>
      </c>
      <c r="BS5" s="1">
        <v>5</v>
      </c>
      <c r="BU5">
        <f>AVERAGE(BO5,BI5,BE5,BC5,BA5,AW5,AS5,AM5,AI5,AG5,AC5,AA5,Y5,U5,M5,I5,E5)</f>
        <v>2.5294117647058822</v>
      </c>
    </row>
    <row r="6" spans="1:73" x14ac:dyDescent="0.35">
      <c r="A6" s="3">
        <v>5</v>
      </c>
      <c r="B6" s="3" t="s">
        <v>106</v>
      </c>
      <c r="C6" s="3" t="s">
        <v>31</v>
      </c>
      <c r="D6" s="1" t="s">
        <v>35</v>
      </c>
      <c r="E6" s="1">
        <v>5</v>
      </c>
      <c r="F6" s="1" t="s">
        <v>35</v>
      </c>
      <c r="G6" s="1">
        <v>4</v>
      </c>
      <c r="H6" s="1" t="s">
        <v>35</v>
      </c>
      <c r="I6" s="1">
        <v>5</v>
      </c>
      <c r="J6" s="1" t="s">
        <v>35</v>
      </c>
      <c r="K6" s="1">
        <v>5</v>
      </c>
      <c r="L6" t="s">
        <v>32</v>
      </c>
      <c r="M6">
        <v>3</v>
      </c>
      <c r="N6" s="1" t="s">
        <v>35</v>
      </c>
      <c r="O6" s="1">
        <v>4</v>
      </c>
      <c r="P6" s="1" t="s">
        <v>35</v>
      </c>
      <c r="Q6" s="1">
        <v>4</v>
      </c>
      <c r="R6" t="s">
        <v>32</v>
      </c>
      <c r="S6">
        <v>4</v>
      </c>
      <c r="T6" s="1" t="s">
        <v>35</v>
      </c>
      <c r="U6" s="1">
        <v>4</v>
      </c>
      <c r="V6" s="1" t="s">
        <v>35</v>
      </c>
      <c r="W6" s="1">
        <v>5</v>
      </c>
      <c r="X6" s="1" t="s">
        <v>35</v>
      </c>
      <c r="Y6" s="1">
        <v>4</v>
      </c>
      <c r="Z6" s="1" t="s">
        <v>35</v>
      </c>
      <c r="AA6" s="1">
        <v>4</v>
      </c>
      <c r="AB6" s="1" t="s">
        <v>35</v>
      </c>
      <c r="AC6" s="1">
        <v>4</v>
      </c>
      <c r="AD6" s="1" t="s">
        <v>35</v>
      </c>
      <c r="AE6" s="1">
        <v>2</v>
      </c>
      <c r="AF6" t="s">
        <v>32</v>
      </c>
      <c r="AG6">
        <v>5</v>
      </c>
      <c r="AH6" s="1" t="s">
        <v>35</v>
      </c>
      <c r="AI6" s="1">
        <v>5</v>
      </c>
      <c r="AJ6" s="1" t="s">
        <v>35</v>
      </c>
      <c r="AK6" s="1">
        <v>3</v>
      </c>
      <c r="AL6" s="1" t="s">
        <v>35</v>
      </c>
      <c r="AM6" s="1">
        <v>2</v>
      </c>
      <c r="AN6" s="1" t="s">
        <v>35</v>
      </c>
      <c r="AO6" s="1">
        <v>4</v>
      </c>
      <c r="AP6" s="1" t="s">
        <v>35</v>
      </c>
      <c r="AQ6" s="1">
        <v>5</v>
      </c>
      <c r="AR6" s="1" t="s">
        <v>35</v>
      </c>
      <c r="AS6" s="1">
        <v>3</v>
      </c>
      <c r="AT6" s="1" t="s">
        <v>35</v>
      </c>
      <c r="AU6" s="1">
        <v>4</v>
      </c>
      <c r="AV6" s="1" t="s">
        <v>35</v>
      </c>
      <c r="AW6" s="1">
        <v>4</v>
      </c>
      <c r="AX6" s="1" t="s">
        <v>35</v>
      </c>
      <c r="AY6" s="1">
        <v>5</v>
      </c>
      <c r="AZ6" s="1" t="s">
        <v>35</v>
      </c>
      <c r="BA6" s="1">
        <v>2</v>
      </c>
      <c r="BB6" s="1" t="s">
        <v>35</v>
      </c>
      <c r="BC6" s="1">
        <v>3</v>
      </c>
      <c r="BD6" t="s">
        <v>32</v>
      </c>
      <c r="BE6">
        <v>1</v>
      </c>
      <c r="BF6" s="1" t="s">
        <v>35</v>
      </c>
      <c r="BG6" s="1">
        <v>4</v>
      </c>
      <c r="BH6" t="s">
        <v>33</v>
      </c>
      <c r="BI6">
        <v>3</v>
      </c>
      <c r="BJ6" s="1" t="s">
        <v>35</v>
      </c>
      <c r="BK6" s="1">
        <v>4</v>
      </c>
      <c r="BL6" s="1" t="s">
        <v>35</v>
      </c>
      <c r="BM6" s="1">
        <v>4</v>
      </c>
      <c r="BN6" s="1" t="s">
        <v>35</v>
      </c>
      <c r="BO6" s="1">
        <v>3</v>
      </c>
      <c r="BP6" s="1" t="s">
        <v>35</v>
      </c>
      <c r="BQ6" s="1">
        <v>4</v>
      </c>
      <c r="BR6" s="1" t="s">
        <v>35</v>
      </c>
      <c r="BS6" s="1">
        <v>3</v>
      </c>
      <c r="BU6">
        <f>AVERAGE(BI6,BE6,AG6,S6,M6)</f>
        <v>3.2</v>
      </c>
    </row>
    <row r="7" spans="1:73" x14ac:dyDescent="0.35">
      <c r="A7" s="3">
        <v>6</v>
      </c>
      <c r="B7" s="3" t="s">
        <v>107</v>
      </c>
      <c r="C7" s="3" t="s">
        <v>31</v>
      </c>
      <c r="D7" s="1" t="s">
        <v>36</v>
      </c>
      <c r="E7" s="1">
        <v>3</v>
      </c>
      <c r="F7" s="1" t="s">
        <v>36</v>
      </c>
      <c r="G7" s="1">
        <v>4</v>
      </c>
      <c r="H7" s="1" t="s">
        <v>35</v>
      </c>
      <c r="I7" s="1">
        <v>4</v>
      </c>
      <c r="J7" s="1" t="s">
        <v>36</v>
      </c>
      <c r="K7" s="1">
        <v>3</v>
      </c>
      <c r="L7" s="1" t="s">
        <v>36</v>
      </c>
      <c r="M7" s="1">
        <v>3</v>
      </c>
      <c r="N7" s="1" t="s">
        <v>35</v>
      </c>
      <c r="O7" s="1">
        <v>4</v>
      </c>
      <c r="P7" s="1" t="s">
        <v>35</v>
      </c>
      <c r="Q7" s="1">
        <v>2</v>
      </c>
      <c r="R7" s="1" t="s">
        <v>35</v>
      </c>
      <c r="S7" s="1">
        <v>3</v>
      </c>
      <c r="T7" s="1" t="s">
        <v>35</v>
      </c>
      <c r="U7" s="1">
        <v>4</v>
      </c>
      <c r="V7" t="s">
        <v>32</v>
      </c>
      <c r="W7">
        <v>5</v>
      </c>
      <c r="X7" s="1" t="s">
        <v>35</v>
      </c>
      <c r="Y7" s="1">
        <v>4</v>
      </c>
      <c r="Z7" s="1" t="s">
        <v>35</v>
      </c>
      <c r="AA7" s="1">
        <v>4</v>
      </c>
      <c r="AB7" s="1" t="s">
        <v>36</v>
      </c>
      <c r="AC7" s="1">
        <v>3</v>
      </c>
      <c r="AD7" s="1" t="s">
        <v>36</v>
      </c>
      <c r="AE7" s="1">
        <v>2</v>
      </c>
      <c r="AF7" s="1" t="s">
        <v>36</v>
      </c>
      <c r="AG7" s="1">
        <v>4</v>
      </c>
      <c r="AH7" s="1" t="s">
        <v>35</v>
      </c>
      <c r="AI7" s="1">
        <v>5</v>
      </c>
      <c r="AJ7" s="1" t="s">
        <v>35</v>
      </c>
      <c r="AK7" s="1">
        <v>4</v>
      </c>
      <c r="AL7" s="1" t="s">
        <v>36</v>
      </c>
      <c r="AM7" s="1">
        <v>3</v>
      </c>
      <c r="AN7" t="s">
        <v>32</v>
      </c>
      <c r="AO7">
        <v>2</v>
      </c>
      <c r="AP7" s="1" t="s">
        <v>36</v>
      </c>
      <c r="AQ7" s="1">
        <v>1</v>
      </c>
      <c r="AR7" s="1" t="s">
        <v>35</v>
      </c>
      <c r="AS7" s="1">
        <v>2</v>
      </c>
      <c r="AT7" s="1" t="s">
        <v>35</v>
      </c>
      <c r="AU7" s="1">
        <v>4</v>
      </c>
      <c r="AV7" s="1" t="s">
        <v>36</v>
      </c>
      <c r="AW7" s="1">
        <v>3</v>
      </c>
      <c r="AX7" s="1" t="s">
        <v>35</v>
      </c>
      <c r="AY7" s="1">
        <v>3</v>
      </c>
      <c r="AZ7" s="1" t="s">
        <v>36</v>
      </c>
      <c r="BA7" s="1">
        <v>1</v>
      </c>
      <c r="BB7" s="1" t="s">
        <v>36</v>
      </c>
      <c r="BC7" s="1">
        <v>3</v>
      </c>
      <c r="BD7" s="1" t="s">
        <v>35</v>
      </c>
      <c r="BE7" s="1">
        <v>2</v>
      </c>
      <c r="BF7" s="1" t="s">
        <v>36</v>
      </c>
      <c r="BG7" s="1">
        <v>4</v>
      </c>
      <c r="BH7" s="1" t="s">
        <v>36</v>
      </c>
      <c r="BI7" s="1">
        <v>3</v>
      </c>
      <c r="BJ7" s="1" t="s">
        <v>36</v>
      </c>
      <c r="BK7" s="1">
        <v>4</v>
      </c>
      <c r="BL7" s="1" t="s">
        <v>36</v>
      </c>
      <c r="BM7" s="1">
        <v>2</v>
      </c>
      <c r="BN7" s="1" t="s">
        <v>36</v>
      </c>
      <c r="BO7" s="1">
        <v>2</v>
      </c>
      <c r="BP7" s="1" t="s">
        <v>35</v>
      </c>
      <c r="BQ7" s="1">
        <v>4</v>
      </c>
      <c r="BR7" s="1" t="s">
        <v>36</v>
      </c>
      <c r="BS7" s="1">
        <v>2</v>
      </c>
      <c r="BU7">
        <f>AVERAGE(AO7,W7)</f>
        <v>3.5</v>
      </c>
    </row>
    <row r="8" spans="1:73" x14ac:dyDescent="0.35">
      <c r="A8" s="3">
        <v>7</v>
      </c>
      <c r="B8" s="3" t="s">
        <v>108</v>
      </c>
      <c r="C8" s="3" t="s">
        <v>31</v>
      </c>
      <c r="D8" t="s">
        <v>31</v>
      </c>
      <c r="E8">
        <v>4</v>
      </c>
      <c r="F8" t="s">
        <v>32</v>
      </c>
      <c r="G8">
        <v>5</v>
      </c>
      <c r="H8" t="s">
        <v>32</v>
      </c>
      <c r="I8">
        <v>2</v>
      </c>
      <c r="J8" t="s">
        <v>33</v>
      </c>
      <c r="K8">
        <v>5</v>
      </c>
      <c r="L8" t="s">
        <v>32</v>
      </c>
      <c r="M8">
        <v>5</v>
      </c>
      <c r="N8" t="s">
        <v>32</v>
      </c>
      <c r="O8">
        <v>4</v>
      </c>
      <c r="P8" t="s">
        <v>32</v>
      </c>
      <c r="Q8">
        <v>4</v>
      </c>
      <c r="R8" t="s">
        <v>32</v>
      </c>
      <c r="S8">
        <v>5</v>
      </c>
      <c r="T8" t="s">
        <v>32</v>
      </c>
      <c r="U8">
        <v>4</v>
      </c>
      <c r="V8" t="s">
        <v>32</v>
      </c>
      <c r="W8">
        <v>5</v>
      </c>
      <c r="X8" t="s">
        <v>34</v>
      </c>
      <c r="Y8">
        <v>5</v>
      </c>
      <c r="Z8" t="s">
        <v>32</v>
      </c>
      <c r="AA8">
        <v>3</v>
      </c>
      <c r="AB8" t="s">
        <v>32</v>
      </c>
      <c r="AC8">
        <v>5</v>
      </c>
      <c r="AD8" t="s">
        <v>32</v>
      </c>
      <c r="AE8">
        <v>3</v>
      </c>
      <c r="AF8" t="s">
        <v>32</v>
      </c>
      <c r="AG8">
        <v>5</v>
      </c>
      <c r="AH8" t="s">
        <v>32</v>
      </c>
      <c r="AI8">
        <v>5</v>
      </c>
      <c r="AJ8" t="s">
        <v>32</v>
      </c>
      <c r="AK8">
        <v>3</v>
      </c>
      <c r="AL8" t="s">
        <v>32</v>
      </c>
      <c r="AM8">
        <v>5</v>
      </c>
      <c r="AN8" t="s">
        <v>32</v>
      </c>
      <c r="AO8">
        <v>3</v>
      </c>
      <c r="AP8" t="s">
        <v>32</v>
      </c>
      <c r="AQ8">
        <v>1</v>
      </c>
      <c r="AR8" t="s">
        <v>32</v>
      </c>
      <c r="AS8">
        <v>2</v>
      </c>
      <c r="AT8" t="s">
        <v>32</v>
      </c>
      <c r="AU8">
        <v>4</v>
      </c>
      <c r="AV8" t="s">
        <v>32</v>
      </c>
      <c r="AW8">
        <v>3</v>
      </c>
      <c r="AX8" t="s">
        <v>32</v>
      </c>
      <c r="AY8">
        <v>5</v>
      </c>
      <c r="AZ8" t="s">
        <v>32</v>
      </c>
      <c r="BA8">
        <v>4</v>
      </c>
      <c r="BB8" t="s">
        <v>32</v>
      </c>
      <c r="BC8">
        <v>4</v>
      </c>
      <c r="BD8" t="s">
        <v>32</v>
      </c>
      <c r="BE8">
        <v>3</v>
      </c>
      <c r="BF8" s="1" t="s">
        <v>35</v>
      </c>
      <c r="BG8" s="1">
        <v>4</v>
      </c>
      <c r="BH8" t="s">
        <v>33</v>
      </c>
      <c r="BI8">
        <v>4</v>
      </c>
      <c r="BJ8" t="s">
        <v>32</v>
      </c>
      <c r="BK8">
        <v>3</v>
      </c>
      <c r="BL8" t="s">
        <v>32</v>
      </c>
      <c r="BM8">
        <v>3</v>
      </c>
      <c r="BN8" t="s">
        <v>32</v>
      </c>
      <c r="BO8">
        <v>4</v>
      </c>
      <c r="BP8" t="s">
        <v>32</v>
      </c>
      <c r="BQ8">
        <v>4</v>
      </c>
      <c r="BR8" s="1" t="s">
        <v>36</v>
      </c>
      <c r="BS8" s="1">
        <v>2</v>
      </c>
      <c r="BU8">
        <f>AVERAGE(BI8:BQ8,E8:BE8)</f>
        <v>3.875</v>
      </c>
    </row>
    <row r="9" spans="1:73" x14ac:dyDescent="0.35">
      <c r="A9" s="3">
        <v>8</v>
      </c>
      <c r="B9" s="3" t="s">
        <v>109</v>
      </c>
      <c r="C9" s="3" t="s">
        <v>31</v>
      </c>
      <c r="D9" t="s">
        <v>31</v>
      </c>
      <c r="E9">
        <v>2</v>
      </c>
      <c r="F9" t="s">
        <v>32</v>
      </c>
      <c r="G9">
        <v>5</v>
      </c>
      <c r="H9" t="s">
        <v>32</v>
      </c>
      <c r="I9">
        <v>3</v>
      </c>
      <c r="J9" t="s">
        <v>33</v>
      </c>
      <c r="K9">
        <v>4</v>
      </c>
      <c r="L9" s="1" t="s">
        <v>35</v>
      </c>
      <c r="M9" s="1">
        <v>1</v>
      </c>
      <c r="N9" t="s">
        <v>32</v>
      </c>
      <c r="O9">
        <v>5</v>
      </c>
      <c r="P9" s="1" t="s">
        <v>35</v>
      </c>
      <c r="Q9" s="1">
        <v>4</v>
      </c>
      <c r="R9" t="s">
        <v>32</v>
      </c>
      <c r="S9">
        <v>5</v>
      </c>
      <c r="T9" t="s">
        <v>32</v>
      </c>
      <c r="U9">
        <v>4</v>
      </c>
      <c r="V9" t="s">
        <v>32</v>
      </c>
      <c r="W9">
        <v>5</v>
      </c>
      <c r="X9" t="s">
        <v>34</v>
      </c>
      <c r="Y9">
        <v>4</v>
      </c>
      <c r="Z9" t="s">
        <v>32</v>
      </c>
      <c r="AA9">
        <v>4</v>
      </c>
      <c r="AB9" t="s">
        <v>32</v>
      </c>
      <c r="AC9">
        <v>3</v>
      </c>
      <c r="AD9" t="s">
        <v>32</v>
      </c>
      <c r="AE9">
        <v>3</v>
      </c>
      <c r="AF9" t="s">
        <v>32</v>
      </c>
      <c r="AG9">
        <v>4</v>
      </c>
      <c r="AH9" t="s">
        <v>32</v>
      </c>
      <c r="AI9">
        <v>5</v>
      </c>
      <c r="AJ9" t="s">
        <v>32</v>
      </c>
      <c r="AK9">
        <v>2</v>
      </c>
      <c r="AL9" t="s">
        <v>32</v>
      </c>
      <c r="AM9">
        <v>5</v>
      </c>
      <c r="AN9" t="s">
        <v>32</v>
      </c>
      <c r="AO9">
        <v>1</v>
      </c>
      <c r="AP9" t="s">
        <v>32</v>
      </c>
      <c r="AQ9">
        <v>1</v>
      </c>
      <c r="AR9" t="s">
        <v>32</v>
      </c>
      <c r="AS9">
        <v>1</v>
      </c>
      <c r="AT9" t="s">
        <v>32</v>
      </c>
      <c r="AU9">
        <v>5</v>
      </c>
      <c r="AV9" t="s">
        <v>32</v>
      </c>
      <c r="AW9">
        <v>3</v>
      </c>
      <c r="AX9" t="s">
        <v>32</v>
      </c>
      <c r="AY9">
        <v>5</v>
      </c>
      <c r="AZ9" t="s">
        <v>32</v>
      </c>
      <c r="BA9">
        <v>3</v>
      </c>
      <c r="BB9" s="1" t="s">
        <v>36</v>
      </c>
      <c r="BC9" s="1">
        <v>4</v>
      </c>
      <c r="BD9" t="s">
        <v>32</v>
      </c>
      <c r="BE9">
        <v>3</v>
      </c>
      <c r="BF9" s="1" t="s">
        <v>36</v>
      </c>
      <c r="BG9" s="1">
        <v>3</v>
      </c>
      <c r="BH9" t="s">
        <v>33</v>
      </c>
      <c r="BI9">
        <v>4</v>
      </c>
      <c r="BJ9" t="s">
        <v>32</v>
      </c>
      <c r="BK9">
        <v>3</v>
      </c>
      <c r="BL9" t="s">
        <v>32</v>
      </c>
      <c r="BM9">
        <v>2</v>
      </c>
      <c r="BN9" t="s">
        <v>32</v>
      </c>
      <c r="BO9">
        <v>4</v>
      </c>
      <c r="BP9" t="s">
        <v>32</v>
      </c>
      <c r="BQ9">
        <v>2</v>
      </c>
      <c r="BR9" t="s">
        <v>32</v>
      </c>
      <c r="BS9">
        <v>5</v>
      </c>
      <c r="BU9">
        <f>AVERAGE(BI9:BS9,BE9,R9:BA9,O9,E9:K9)</f>
        <v>3.5</v>
      </c>
    </row>
    <row r="10" spans="1:73" x14ac:dyDescent="0.35">
      <c r="A10" s="3">
        <v>9</v>
      </c>
      <c r="B10" s="3" t="s">
        <v>110</v>
      </c>
      <c r="C10" s="3" t="s">
        <v>31</v>
      </c>
      <c r="D10" s="1" t="s">
        <v>36</v>
      </c>
      <c r="E10" s="1">
        <v>2</v>
      </c>
      <c r="F10" s="1" t="s">
        <v>35</v>
      </c>
      <c r="G10" s="1">
        <v>4</v>
      </c>
      <c r="H10" s="1" t="s">
        <v>35</v>
      </c>
      <c r="I10" s="1">
        <v>3</v>
      </c>
      <c r="J10" t="s">
        <v>33</v>
      </c>
      <c r="K10">
        <v>3</v>
      </c>
      <c r="L10" s="1" t="s">
        <v>37</v>
      </c>
      <c r="M10" s="1">
        <v>3</v>
      </c>
      <c r="N10" t="s">
        <v>32</v>
      </c>
      <c r="O10">
        <v>5</v>
      </c>
      <c r="P10" s="1" t="s">
        <v>35</v>
      </c>
      <c r="Q10" s="1">
        <v>2</v>
      </c>
      <c r="R10" t="s">
        <v>32</v>
      </c>
      <c r="S10">
        <v>5</v>
      </c>
      <c r="T10" t="s">
        <v>32</v>
      </c>
      <c r="U10">
        <v>4</v>
      </c>
      <c r="V10" t="s">
        <v>32</v>
      </c>
      <c r="W10">
        <v>5</v>
      </c>
      <c r="X10" t="s">
        <v>34</v>
      </c>
      <c r="Y10">
        <v>3</v>
      </c>
      <c r="Z10" t="s">
        <v>32</v>
      </c>
      <c r="AA10">
        <v>1</v>
      </c>
      <c r="AB10" s="1" t="s">
        <v>36</v>
      </c>
      <c r="AC10" s="1">
        <v>3</v>
      </c>
      <c r="AD10" s="1" t="s">
        <v>36</v>
      </c>
      <c r="AE10" s="1">
        <v>3</v>
      </c>
      <c r="AF10" s="1" t="s">
        <v>36</v>
      </c>
      <c r="AG10" s="1">
        <v>3</v>
      </c>
      <c r="AH10" s="1" t="s">
        <v>35</v>
      </c>
      <c r="AI10" s="1">
        <v>2</v>
      </c>
      <c r="AJ10" t="s">
        <v>32</v>
      </c>
      <c r="AK10">
        <v>1</v>
      </c>
      <c r="AL10" s="1" t="s">
        <v>36</v>
      </c>
      <c r="AM10" s="1">
        <v>2</v>
      </c>
      <c r="AN10" s="1" t="s">
        <v>35</v>
      </c>
      <c r="AO10" s="1">
        <v>3</v>
      </c>
      <c r="AP10" s="1" t="s">
        <v>36</v>
      </c>
      <c r="AQ10" s="1">
        <v>2</v>
      </c>
      <c r="AR10" s="1" t="s">
        <v>35</v>
      </c>
      <c r="AS10" s="1">
        <v>3</v>
      </c>
      <c r="AT10" t="s">
        <v>32</v>
      </c>
      <c r="AU10">
        <v>4</v>
      </c>
      <c r="AV10" t="s">
        <v>32</v>
      </c>
      <c r="AW10">
        <v>2</v>
      </c>
      <c r="AX10" s="1" t="s">
        <v>35</v>
      </c>
      <c r="AY10" s="1">
        <v>3</v>
      </c>
      <c r="AZ10" s="1" t="s">
        <v>36</v>
      </c>
      <c r="BA10" s="1">
        <v>1</v>
      </c>
      <c r="BB10" s="1" t="s">
        <v>36</v>
      </c>
      <c r="BC10" s="1">
        <v>3</v>
      </c>
      <c r="BD10" t="s">
        <v>32</v>
      </c>
      <c r="BE10">
        <v>2</v>
      </c>
      <c r="BF10" s="1" t="s">
        <v>36</v>
      </c>
      <c r="BG10" s="1">
        <v>4</v>
      </c>
      <c r="BH10" s="1" t="s">
        <v>35</v>
      </c>
      <c r="BI10" s="1">
        <v>4</v>
      </c>
      <c r="BJ10" s="1" t="s">
        <v>36</v>
      </c>
      <c r="BK10" s="1">
        <v>2</v>
      </c>
      <c r="BL10" t="s">
        <v>32</v>
      </c>
      <c r="BM10">
        <v>4</v>
      </c>
      <c r="BN10" t="s">
        <v>32</v>
      </c>
      <c r="BO10">
        <v>2</v>
      </c>
      <c r="BP10" t="s">
        <v>32</v>
      </c>
      <c r="BQ10">
        <v>1</v>
      </c>
      <c r="BR10" s="1" t="s">
        <v>35</v>
      </c>
      <c r="BS10" s="1">
        <v>2</v>
      </c>
      <c r="BU10">
        <f>AVERAGE(BL10:BQ10,BE10,AT10:AW10,AK10,Y10:AA10,R10:W10,O10,K10)</f>
        <v>3</v>
      </c>
    </row>
    <row r="11" spans="1:73" x14ac:dyDescent="0.35">
      <c r="A11" s="3">
        <v>10</v>
      </c>
      <c r="B11" s="3" t="s">
        <v>111</v>
      </c>
      <c r="C11" s="3" t="s">
        <v>31</v>
      </c>
      <c r="D11" t="s">
        <v>31</v>
      </c>
      <c r="E11">
        <v>3</v>
      </c>
      <c r="F11" s="1" t="s">
        <v>35</v>
      </c>
      <c r="G11" s="1">
        <v>5</v>
      </c>
      <c r="H11" s="1" t="s">
        <v>35</v>
      </c>
      <c r="I11" s="1">
        <v>5</v>
      </c>
      <c r="J11" t="s">
        <v>33</v>
      </c>
      <c r="K11">
        <v>5</v>
      </c>
      <c r="L11" t="s">
        <v>32</v>
      </c>
      <c r="M11">
        <v>2</v>
      </c>
      <c r="N11" t="s">
        <v>32</v>
      </c>
      <c r="O11">
        <v>4</v>
      </c>
      <c r="P11" t="s">
        <v>32</v>
      </c>
      <c r="Q11">
        <v>4</v>
      </c>
      <c r="R11" t="s">
        <v>32</v>
      </c>
      <c r="S11">
        <v>5</v>
      </c>
      <c r="T11" t="s">
        <v>32</v>
      </c>
      <c r="U11">
        <v>3</v>
      </c>
      <c r="V11" s="1" t="s">
        <v>35</v>
      </c>
      <c r="W11" s="1">
        <v>5</v>
      </c>
      <c r="X11" t="s">
        <v>34</v>
      </c>
      <c r="Y11">
        <v>4</v>
      </c>
      <c r="Z11" s="1" t="s">
        <v>35</v>
      </c>
      <c r="AA11" s="1">
        <v>3</v>
      </c>
      <c r="AB11" t="s">
        <v>32</v>
      </c>
      <c r="AC11">
        <v>3</v>
      </c>
      <c r="AD11" s="1" t="s">
        <v>38</v>
      </c>
      <c r="AE11" s="1">
        <v>2</v>
      </c>
      <c r="AF11" t="s">
        <v>32</v>
      </c>
      <c r="AG11">
        <v>2</v>
      </c>
      <c r="AH11" s="1" t="s">
        <v>35</v>
      </c>
      <c r="AI11" s="1">
        <v>5</v>
      </c>
      <c r="AJ11" t="s">
        <v>32</v>
      </c>
      <c r="AK11">
        <v>3</v>
      </c>
      <c r="AL11" t="s">
        <v>32</v>
      </c>
      <c r="AM11">
        <v>2</v>
      </c>
      <c r="AN11" s="1" t="s">
        <v>35</v>
      </c>
      <c r="AO11" s="1">
        <v>5</v>
      </c>
      <c r="AP11" s="1" t="s">
        <v>35</v>
      </c>
      <c r="AQ11" s="1">
        <v>3</v>
      </c>
      <c r="AR11" s="1" t="s">
        <v>35</v>
      </c>
      <c r="AS11" s="1">
        <v>3</v>
      </c>
      <c r="AT11" s="1" t="s">
        <v>35</v>
      </c>
      <c r="AU11" s="1">
        <v>4</v>
      </c>
      <c r="AV11" s="1" t="s">
        <v>35</v>
      </c>
      <c r="AW11" s="1">
        <v>2</v>
      </c>
      <c r="AX11" s="1" t="s">
        <v>35</v>
      </c>
      <c r="AY11" s="1">
        <v>4</v>
      </c>
      <c r="AZ11" t="s">
        <v>32</v>
      </c>
      <c r="BA11">
        <v>3</v>
      </c>
      <c r="BB11" t="s">
        <v>32</v>
      </c>
      <c r="BC11">
        <v>2</v>
      </c>
      <c r="BD11" t="s">
        <v>32</v>
      </c>
      <c r="BE11">
        <v>2</v>
      </c>
      <c r="BF11" s="1" t="s">
        <v>35</v>
      </c>
      <c r="BG11" s="1">
        <v>5</v>
      </c>
      <c r="BH11" s="1" t="s">
        <v>35</v>
      </c>
      <c r="BI11" s="1">
        <v>3</v>
      </c>
      <c r="BJ11" s="1" t="s">
        <v>35</v>
      </c>
      <c r="BK11" s="1">
        <v>4</v>
      </c>
      <c r="BL11" s="1" t="s">
        <v>36</v>
      </c>
      <c r="BM11" s="1">
        <v>4</v>
      </c>
      <c r="BN11" t="s">
        <v>32</v>
      </c>
      <c r="BO11">
        <v>3</v>
      </c>
      <c r="BP11" s="1" t="s">
        <v>35</v>
      </c>
      <c r="BQ11" s="1">
        <v>4</v>
      </c>
      <c r="BR11" s="1" t="s">
        <v>35</v>
      </c>
      <c r="BS11" s="1">
        <v>4</v>
      </c>
      <c r="BU11">
        <f>AVERAGE(BO11,BE11,AZ11:BC11,AJ11:AM11,AG11,AC11,Y11,K11:U11,E11)</f>
        <v>3.125</v>
      </c>
    </row>
    <row r="12" spans="1:73" x14ac:dyDescent="0.35">
      <c r="A12" s="3">
        <v>11</v>
      </c>
      <c r="B12" s="3" t="s">
        <v>112</v>
      </c>
      <c r="C12" s="3" t="s">
        <v>31</v>
      </c>
      <c r="D12" t="s">
        <v>31</v>
      </c>
      <c r="E12">
        <v>2</v>
      </c>
      <c r="F12" t="s">
        <v>32</v>
      </c>
      <c r="G12">
        <v>3</v>
      </c>
      <c r="H12" s="1" t="s">
        <v>35</v>
      </c>
      <c r="I12" s="1">
        <v>5</v>
      </c>
      <c r="J12" s="1" t="s">
        <v>35</v>
      </c>
      <c r="K12" s="1">
        <v>5</v>
      </c>
      <c r="L12" t="s">
        <v>32</v>
      </c>
      <c r="M12">
        <v>4</v>
      </c>
      <c r="N12" s="1" t="s">
        <v>35</v>
      </c>
      <c r="O12" s="1">
        <v>4</v>
      </c>
      <c r="P12" s="1" t="s">
        <v>35</v>
      </c>
      <c r="Q12" s="1">
        <v>5</v>
      </c>
      <c r="R12" s="1" t="s">
        <v>35</v>
      </c>
      <c r="S12" s="1">
        <v>3</v>
      </c>
      <c r="T12" s="1" t="s">
        <v>35</v>
      </c>
      <c r="U12" s="1">
        <v>3</v>
      </c>
      <c r="V12" s="1" t="s">
        <v>35</v>
      </c>
      <c r="W12" s="1">
        <v>5</v>
      </c>
      <c r="X12" s="1" t="s">
        <v>36</v>
      </c>
      <c r="Y12" s="1">
        <v>3</v>
      </c>
      <c r="Z12" t="s">
        <v>32</v>
      </c>
      <c r="AA12">
        <v>1</v>
      </c>
      <c r="AB12" s="1" t="s">
        <v>35</v>
      </c>
      <c r="AC12" s="1">
        <v>4</v>
      </c>
      <c r="AD12" s="1" t="s">
        <v>35</v>
      </c>
      <c r="AE12" s="1">
        <v>2</v>
      </c>
      <c r="AF12" t="s">
        <v>32</v>
      </c>
      <c r="AG12">
        <v>2</v>
      </c>
      <c r="AH12" s="1" t="s">
        <v>35</v>
      </c>
      <c r="AI12" s="1">
        <v>3</v>
      </c>
      <c r="AJ12" t="s">
        <v>32</v>
      </c>
      <c r="AK12">
        <v>1</v>
      </c>
      <c r="AL12" t="s">
        <v>32</v>
      </c>
      <c r="AM12">
        <v>2</v>
      </c>
      <c r="AN12" s="1" t="s">
        <v>35</v>
      </c>
      <c r="AO12" s="1">
        <v>4</v>
      </c>
      <c r="AP12" s="1" t="s">
        <v>35</v>
      </c>
      <c r="AQ12" s="1">
        <v>4</v>
      </c>
      <c r="AR12" s="1" t="s">
        <v>35</v>
      </c>
      <c r="AS12" s="1">
        <v>1</v>
      </c>
      <c r="AT12" s="1" t="s">
        <v>35</v>
      </c>
      <c r="AU12" s="1">
        <v>4</v>
      </c>
      <c r="AV12" t="s">
        <v>32</v>
      </c>
      <c r="AW12">
        <v>2</v>
      </c>
      <c r="AX12" s="1" t="s">
        <v>35</v>
      </c>
      <c r="AY12" s="1">
        <v>5</v>
      </c>
      <c r="AZ12" s="1" t="s">
        <v>35</v>
      </c>
      <c r="BA12" s="1">
        <v>3</v>
      </c>
      <c r="BB12" s="1" t="s">
        <v>36</v>
      </c>
      <c r="BC12" s="1">
        <v>3</v>
      </c>
      <c r="BD12" s="1" t="s">
        <v>35</v>
      </c>
      <c r="BE12" s="1">
        <v>2</v>
      </c>
      <c r="BF12" s="1" t="s">
        <v>35</v>
      </c>
      <c r="BG12" s="1">
        <v>5</v>
      </c>
      <c r="BH12" t="s">
        <v>33</v>
      </c>
      <c r="BI12">
        <v>2</v>
      </c>
      <c r="BJ12" s="1" t="s">
        <v>35</v>
      </c>
      <c r="BK12" s="1">
        <v>4</v>
      </c>
      <c r="BL12" s="1" t="s">
        <v>35</v>
      </c>
      <c r="BM12" s="1">
        <v>5</v>
      </c>
      <c r="BN12" s="1" t="s">
        <v>35</v>
      </c>
      <c r="BO12" s="1">
        <v>4</v>
      </c>
      <c r="BP12" s="1" t="s">
        <v>35</v>
      </c>
      <c r="BQ12" s="1">
        <v>4</v>
      </c>
      <c r="BR12" s="1" t="s">
        <v>35</v>
      </c>
      <c r="BS12" s="1">
        <v>4</v>
      </c>
      <c r="BU12">
        <f>AVERAGE(BI12,AW12,AK12:AM12,AG12,AA12,M12,E12:G12)</f>
        <v>2.1111111111111112</v>
      </c>
    </row>
    <row r="13" spans="1:73" x14ac:dyDescent="0.35">
      <c r="A13" s="3">
        <v>12</v>
      </c>
      <c r="B13" s="3" t="s">
        <v>113</v>
      </c>
      <c r="C13" s="3" t="s">
        <v>31</v>
      </c>
      <c r="D13" s="1" t="s">
        <v>36</v>
      </c>
      <c r="E13" s="1">
        <v>4</v>
      </c>
      <c r="F13" s="1" t="s">
        <v>36</v>
      </c>
      <c r="G13" s="1">
        <v>5</v>
      </c>
      <c r="H13" s="1" t="s">
        <v>36</v>
      </c>
      <c r="I13" s="1">
        <v>5</v>
      </c>
      <c r="J13" s="1" t="s">
        <v>36</v>
      </c>
      <c r="K13" s="1">
        <v>5</v>
      </c>
      <c r="L13" s="1" t="s">
        <v>36</v>
      </c>
      <c r="M13" s="1">
        <v>3</v>
      </c>
      <c r="N13" s="1" t="s">
        <v>36</v>
      </c>
      <c r="O13" s="1">
        <v>3</v>
      </c>
      <c r="P13" s="1" t="s">
        <v>36</v>
      </c>
      <c r="Q13" s="1">
        <v>3</v>
      </c>
      <c r="R13" s="1" t="s">
        <v>35</v>
      </c>
      <c r="S13" s="1">
        <v>3</v>
      </c>
      <c r="T13" s="1" t="s">
        <v>35</v>
      </c>
      <c r="U13" s="1">
        <v>4</v>
      </c>
      <c r="V13" t="s">
        <v>32</v>
      </c>
      <c r="W13">
        <v>3</v>
      </c>
      <c r="X13" s="1" t="s">
        <v>35</v>
      </c>
      <c r="Y13" s="1">
        <v>3</v>
      </c>
      <c r="Z13" s="1" t="s">
        <v>35</v>
      </c>
      <c r="AA13" s="1">
        <v>5</v>
      </c>
      <c r="AB13" s="1" t="s">
        <v>36</v>
      </c>
      <c r="AC13" s="1">
        <v>3</v>
      </c>
      <c r="AD13" s="1" t="s">
        <v>36</v>
      </c>
      <c r="AE13" s="1">
        <v>4</v>
      </c>
      <c r="AF13" s="1" t="s">
        <v>36</v>
      </c>
      <c r="AG13" s="1">
        <v>1</v>
      </c>
      <c r="AH13" s="1" t="s">
        <v>35</v>
      </c>
      <c r="AI13" s="1">
        <v>4</v>
      </c>
      <c r="AJ13" s="1" t="s">
        <v>36</v>
      </c>
      <c r="AK13" s="1">
        <v>4</v>
      </c>
      <c r="AL13" s="1" t="s">
        <v>36</v>
      </c>
      <c r="AM13" s="1">
        <v>4</v>
      </c>
      <c r="AN13" s="1" t="s">
        <v>35</v>
      </c>
      <c r="AO13" s="1">
        <v>5</v>
      </c>
      <c r="AP13" s="1" t="s">
        <v>35</v>
      </c>
      <c r="AQ13" s="1">
        <v>3</v>
      </c>
      <c r="AR13" s="1" t="s">
        <v>36</v>
      </c>
      <c r="AS13" s="1">
        <v>2</v>
      </c>
      <c r="AT13" t="s">
        <v>32</v>
      </c>
      <c r="AU13">
        <v>4</v>
      </c>
      <c r="AV13" s="1" t="s">
        <v>36</v>
      </c>
      <c r="AW13" s="1">
        <v>3</v>
      </c>
      <c r="AX13" s="1" t="s">
        <v>35</v>
      </c>
      <c r="AY13" s="1">
        <v>3</v>
      </c>
      <c r="AZ13" s="1" t="s">
        <v>36</v>
      </c>
      <c r="BA13" s="1">
        <v>2</v>
      </c>
      <c r="BB13" s="1" t="s">
        <v>36</v>
      </c>
      <c r="BC13" s="1">
        <v>2</v>
      </c>
      <c r="BD13" s="1" t="s">
        <v>36</v>
      </c>
      <c r="BE13" s="1">
        <v>2</v>
      </c>
      <c r="BF13" t="s">
        <v>32</v>
      </c>
      <c r="BG13">
        <v>5</v>
      </c>
      <c r="BH13" s="1" t="s">
        <v>36</v>
      </c>
      <c r="BI13" s="1">
        <v>3</v>
      </c>
      <c r="BJ13" s="1" t="s">
        <v>36</v>
      </c>
      <c r="BK13" s="1">
        <v>4</v>
      </c>
      <c r="BL13" s="1" t="s">
        <v>35</v>
      </c>
      <c r="BM13" s="1">
        <v>4</v>
      </c>
      <c r="BN13" s="1" t="s">
        <v>35</v>
      </c>
      <c r="BO13" s="1">
        <v>5</v>
      </c>
      <c r="BP13" s="1" t="s">
        <v>35</v>
      </c>
      <c r="BQ13" s="1">
        <v>3</v>
      </c>
      <c r="BR13" s="1" t="s">
        <v>36</v>
      </c>
      <c r="BS13">
        <v>2</v>
      </c>
      <c r="BU13">
        <f>AVERAGE(BS13,BG13,AU13,W13)</f>
        <v>3.5</v>
      </c>
    </row>
    <row r="14" spans="1:73" x14ac:dyDescent="0.35">
      <c r="A14" s="3">
        <v>13</v>
      </c>
      <c r="B14" s="3" t="s">
        <v>114</v>
      </c>
      <c r="C14" s="3" t="s">
        <v>36</v>
      </c>
      <c r="D14" s="1" t="s">
        <v>35</v>
      </c>
      <c r="E14" s="1">
        <v>4</v>
      </c>
      <c r="F14" s="1" t="s">
        <v>35</v>
      </c>
      <c r="G14" s="1">
        <v>4</v>
      </c>
      <c r="H14" s="1" t="s">
        <v>35</v>
      </c>
      <c r="I14" s="1">
        <v>5</v>
      </c>
      <c r="J14" s="1" t="s">
        <v>35</v>
      </c>
      <c r="K14" s="1">
        <v>4</v>
      </c>
      <c r="L14" s="1" t="s">
        <v>35</v>
      </c>
      <c r="M14" s="1">
        <v>4</v>
      </c>
      <c r="N14" t="s">
        <v>36</v>
      </c>
      <c r="O14">
        <v>4</v>
      </c>
      <c r="P14" s="1" t="s">
        <v>35</v>
      </c>
      <c r="Q14" s="1">
        <v>5</v>
      </c>
      <c r="R14" t="s">
        <v>36</v>
      </c>
      <c r="S14">
        <v>4</v>
      </c>
      <c r="T14" s="1" t="s">
        <v>35</v>
      </c>
      <c r="U14" s="1">
        <v>4</v>
      </c>
      <c r="V14" s="1" t="s">
        <v>37</v>
      </c>
      <c r="W14" s="1">
        <v>5</v>
      </c>
      <c r="X14" s="1" t="s">
        <v>35</v>
      </c>
      <c r="Y14" s="1">
        <v>3</v>
      </c>
      <c r="Z14" s="1" t="s">
        <v>35</v>
      </c>
      <c r="AA14" s="1">
        <v>4</v>
      </c>
      <c r="AB14" s="1" t="s">
        <v>35</v>
      </c>
      <c r="AC14" s="1">
        <v>4</v>
      </c>
      <c r="AD14" s="1" t="s">
        <v>35</v>
      </c>
      <c r="AE14" s="1">
        <v>3</v>
      </c>
      <c r="AF14" s="1" t="s">
        <v>35</v>
      </c>
      <c r="AG14" s="1">
        <v>5</v>
      </c>
      <c r="AH14" s="1" t="s">
        <v>35</v>
      </c>
      <c r="AI14" s="1">
        <v>5</v>
      </c>
      <c r="AJ14" s="1" t="s">
        <v>35</v>
      </c>
      <c r="AK14" s="1">
        <v>4</v>
      </c>
      <c r="AL14" s="1" t="s">
        <v>35</v>
      </c>
      <c r="AM14" s="1">
        <v>5</v>
      </c>
      <c r="AN14" s="1" t="s">
        <v>35</v>
      </c>
      <c r="AO14" s="1">
        <v>4</v>
      </c>
      <c r="AP14" s="1" t="s">
        <v>35</v>
      </c>
      <c r="AQ14" s="1">
        <v>4</v>
      </c>
      <c r="AR14" s="1" t="s">
        <v>35</v>
      </c>
      <c r="AS14" s="1">
        <v>3</v>
      </c>
      <c r="AT14" s="1" t="s">
        <v>35</v>
      </c>
      <c r="AU14" s="1">
        <v>4</v>
      </c>
      <c r="AV14" s="1" t="s">
        <v>35</v>
      </c>
      <c r="AW14" s="1">
        <v>4</v>
      </c>
      <c r="AX14" s="1" t="s">
        <v>35</v>
      </c>
      <c r="AY14" s="1">
        <v>5</v>
      </c>
      <c r="AZ14" s="1" t="s">
        <v>35</v>
      </c>
      <c r="BA14" s="1">
        <v>5</v>
      </c>
      <c r="BB14" s="1" t="s">
        <v>35</v>
      </c>
      <c r="BC14" s="1">
        <v>5</v>
      </c>
      <c r="BD14" s="1" t="s">
        <v>35</v>
      </c>
      <c r="BE14" s="1">
        <v>3</v>
      </c>
      <c r="BF14" s="1" t="s">
        <v>35</v>
      </c>
      <c r="BG14" s="1">
        <v>4</v>
      </c>
      <c r="BH14" s="1" t="s">
        <v>35</v>
      </c>
      <c r="BI14" s="1">
        <v>4</v>
      </c>
      <c r="BJ14" s="1" t="s">
        <v>35</v>
      </c>
      <c r="BK14" s="1">
        <v>3</v>
      </c>
      <c r="BL14" s="1" t="s">
        <v>35</v>
      </c>
      <c r="BM14" s="1">
        <v>3</v>
      </c>
      <c r="BN14" s="1" t="s">
        <v>35</v>
      </c>
      <c r="BO14" s="1">
        <v>5</v>
      </c>
      <c r="BP14" s="1" t="s">
        <v>37</v>
      </c>
      <c r="BQ14" s="1">
        <v>1</v>
      </c>
      <c r="BR14" s="1" t="s">
        <v>35</v>
      </c>
      <c r="BS14" s="1">
        <v>4</v>
      </c>
      <c r="BU14">
        <f>AVERAGE(S14,O14)</f>
        <v>4</v>
      </c>
    </row>
    <row r="15" spans="1:73" x14ac:dyDescent="0.35">
      <c r="A15" s="3">
        <v>14</v>
      </c>
      <c r="B15" s="3" t="s">
        <v>115</v>
      </c>
      <c r="C15" s="3" t="s">
        <v>36</v>
      </c>
      <c r="D15" t="s">
        <v>36</v>
      </c>
      <c r="E15">
        <v>3</v>
      </c>
      <c r="F15" s="1" t="s">
        <v>35</v>
      </c>
      <c r="G15" s="1">
        <v>4</v>
      </c>
      <c r="H15" s="1" t="s">
        <v>35</v>
      </c>
      <c r="I15" s="1">
        <v>5</v>
      </c>
      <c r="J15" t="s">
        <v>36</v>
      </c>
      <c r="K15">
        <v>5</v>
      </c>
      <c r="L15" t="s">
        <v>36</v>
      </c>
      <c r="M15">
        <v>3</v>
      </c>
      <c r="N15" t="s">
        <v>36</v>
      </c>
      <c r="O15">
        <v>4</v>
      </c>
      <c r="P15" s="1" t="s">
        <v>37</v>
      </c>
      <c r="Q15" s="1">
        <v>3</v>
      </c>
      <c r="R15" t="s">
        <v>36</v>
      </c>
      <c r="S15">
        <v>4</v>
      </c>
      <c r="T15" t="s">
        <v>36</v>
      </c>
      <c r="U15">
        <v>3</v>
      </c>
      <c r="V15" s="1" t="s">
        <v>35</v>
      </c>
      <c r="W15" s="1">
        <v>2</v>
      </c>
      <c r="X15" t="s">
        <v>36</v>
      </c>
      <c r="Y15">
        <v>4</v>
      </c>
      <c r="Z15" t="s">
        <v>36</v>
      </c>
      <c r="AA15">
        <v>3</v>
      </c>
      <c r="AB15" t="s">
        <v>36</v>
      </c>
      <c r="AC15">
        <v>4</v>
      </c>
      <c r="AD15" t="s">
        <v>36</v>
      </c>
      <c r="AE15">
        <v>3</v>
      </c>
      <c r="AF15" t="s">
        <v>36</v>
      </c>
      <c r="AG15">
        <v>5</v>
      </c>
      <c r="AH15" s="1" t="s">
        <v>35</v>
      </c>
      <c r="AI15" s="1">
        <v>4</v>
      </c>
      <c r="AJ15" s="1" t="s">
        <v>35</v>
      </c>
      <c r="AK15" s="1">
        <v>3</v>
      </c>
      <c r="AL15" t="s">
        <v>36</v>
      </c>
      <c r="AM15">
        <v>1</v>
      </c>
      <c r="AN15" s="1" t="s">
        <v>35</v>
      </c>
      <c r="AO15" s="1">
        <v>4</v>
      </c>
      <c r="AP15" s="1" t="s">
        <v>37</v>
      </c>
      <c r="AQ15" s="1">
        <v>1</v>
      </c>
      <c r="AR15" t="s">
        <v>36</v>
      </c>
      <c r="AS15">
        <v>4</v>
      </c>
      <c r="AT15" t="s">
        <v>36</v>
      </c>
      <c r="AU15">
        <v>5</v>
      </c>
      <c r="AV15" s="1" t="s">
        <v>35</v>
      </c>
      <c r="AW15" s="1">
        <v>4</v>
      </c>
      <c r="AX15" s="1" t="s">
        <v>37</v>
      </c>
      <c r="AY15" s="1">
        <v>3</v>
      </c>
      <c r="AZ15" s="1" t="s">
        <v>37</v>
      </c>
      <c r="BA15" s="1">
        <v>1</v>
      </c>
      <c r="BB15" t="s">
        <v>36</v>
      </c>
      <c r="BC15">
        <v>4</v>
      </c>
      <c r="BD15" s="1" t="s">
        <v>35</v>
      </c>
      <c r="BE15" s="1">
        <v>2</v>
      </c>
      <c r="BF15" s="1" t="s">
        <v>35</v>
      </c>
      <c r="BG15" s="1">
        <v>4</v>
      </c>
      <c r="BH15" s="1" t="s">
        <v>35</v>
      </c>
      <c r="BI15" s="1">
        <v>4</v>
      </c>
      <c r="BJ15" s="1" t="s">
        <v>35</v>
      </c>
      <c r="BK15" s="1">
        <v>3</v>
      </c>
      <c r="BL15" t="s">
        <v>36</v>
      </c>
      <c r="BM15">
        <v>4</v>
      </c>
      <c r="BN15" s="1" t="s">
        <v>35</v>
      </c>
      <c r="BO15" s="1">
        <v>4</v>
      </c>
      <c r="BP15" s="1" t="s">
        <v>35</v>
      </c>
      <c r="BQ15" s="1">
        <v>3</v>
      </c>
      <c r="BR15" t="s">
        <v>36</v>
      </c>
      <c r="BS15">
        <v>1</v>
      </c>
      <c r="BU15">
        <f>AVERAGE(BS15,BM15,BC15,AU15,AS15,AM15,X15:AG15,S15:U15,K15:O15,E15)</f>
        <v>3.5294117647058822</v>
      </c>
    </row>
    <row r="16" spans="1:73" x14ac:dyDescent="0.35">
      <c r="A16" s="3">
        <v>15</v>
      </c>
      <c r="B16" s="3" t="s">
        <v>116</v>
      </c>
      <c r="C16" s="3" t="s">
        <v>36</v>
      </c>
      <c r="D16" t="s">
        <v>36</v>
      </c>
      <c r="E16">
        <v>4</v>
      </c>
      <c r="F16" s="1" t="s">
        <v>35</v>
      </c>
      <c r="G16" s="1">
        <v>3</v>
      </c>
      <c r="H16" s="1" t="s">
        <v>35</v>
      </c>
      <c r="I16" s="1">
        <v>5</v>
      </c>
      <c r="J16" s="1" t="s">
        <v>35</v>
      </c>
      <c r="K16" s="1">
        <v>5</v>
      </c>
      <c r="L16" t="s">
        <v>36</v>
      </c>
      <c r="M16">
        <v>3</v>
      </c>
      <c r="N16" s="1" t="s">
        <v>35</v>
      </c>
      <c r="O16" s="1">
        <v>4</v>
      </c>
      <c r="P16" s="1" t="s">
        <v>35</v>
      </c>
      <c r="Q16" s="1">
        <v>4</v>
      </c>
      <c r="R16" t="s">
        <v>36</v>
      </c>
      <c r="S16">
        <v>5</v>
      </c>
      <c r="T16" t="s">
        <v>36</v>
      </c>
      <c r="U16">
        <v>4</v>
      </c>
      <c r="V16" s="1" t="s">
        <v>35</v>
      </c>
      <c r="W16" s="1">
        <v>5</v>
      </c>
      <c r="X16" s="1" t="s">
        <v>34</v>
      </c>
      <c r="Y16" s="1">
        <v>4</v>
      </c>
      <c r="Z16" s="1" t="s">
        <v>35</v>
      </c>
      <c r="AA16" s="1">
        <v>5</v>
      </c>
      <c r="AB16" s="1" t="s">
        <v>35</v>
      </c>
      <c r="AC16" s="1">
        <v>4</v>
      </c>
      <c r="AD16" s="1" t="s">
        <v>32</v>
      </c>
      <c r="AE16" s="1">
        <v>2</v>
      </c>
      <c r="AF16" s="1" t="s">
        <v>32</v>
      </c>
      <c r="AG16" s="1">
        <v>5</v>
      </c>
      <c r="AH16" s="1" t="s">
        <v>35</v>
      </c>
      <c r="AI16" s="1">
        <v>4</v>
      </c>
      <c r="AJ16" s="1" t="s">
        <v>35</v>
      </c>
      <c r="AK16" s="1">
        <v>5</v>
      </c>
      <c r="AL16" s="1" t="s">
        <v>35</v>
      </c>
      <c r="AM16" s="1">
        <v>5</v>
      </c>
      <c r="AN16" t="s">
        <v>36</v>
      </c>
      <c r="AO16">
        <v>4</v>
      </c>
      <c r="AP16" s="1" t="s">
        <v>32</v>
      </c>
      <c r="AQ16" s="1">
        <v>3</v>
      </c>
      <c r="AR16" t="s">
        <v>36</v>
      </c>
      <c r="AS16">
        <v>4</v>
      </c>
      <c r="AT16" t="s">
        <v>36</v>
      </c>
      <c r="AU16">
        <v>4</v>
      </c>
      <c r="AV16" s="1" t="s">
        <v>35</v>
      </c>
      <c r="AW16" s="1">
        <v>3</v>
      </c>
      <c r="AX16" s="1" t="s">
        <v>35</v>
      </c>
      <c r="AY16" s="1">
        <v>5</v>
      </c>
      <c r="AZ16" t="s">
        <v>36</v>
      </c>
      <c r="BA16">
        <v>1</v>
      </c>
      <c r="BB16" t="s">
        <v>36</v>
      </c>
      <c r="BC16">
        <v>4</v>
      </c>
      <c r="BD16" s="1" t="s">
        <v>32</v>
      </c>
      <c r="BE16" s="1">
        <v>3</v>
      </c>
      <c r="BF16" t="s">
        <v>36</v>
      </c>
      <c r="BG16">
        <v>5</v>
      </c>
      <c r="BH16" s="1" t="s">
        <v>33</v>
      </c>
      <c r="BI16" s="1">
        <v>3</v>
      </c>
      <c r="BJ16" t="s">
        <v>36</v>
      </c>
      <c r="BK16">
        <v>5</v>
      </c>
      <c r="BL16" s="1" t="s">
        <v>35</v>
      </c>
      <c r="BM16" s="1">
        <v>1</v>
      </c>
      <c r="BN16" t="s">
        <v>36</v>
      </c>
      <c r="BO16">
        <v>4</v>
      </c>
      <c r="BP16" s="1" t="s">
        <v>35</v>
      </c>
      <c r="BQ16" s="1">
        <v>4</v>
      </c>
      <c r="BR16" t="s">
        <v>36</v>
      </c>
      <c r="BS16">
        <v>4</v>
      </c>
      <c r="BU16">
        <f>AVERAGE(BS16,BO16,BK16,BG16,BA16:BC16,AR16:AU16,AO16,R16:U16,M16,E16)</f>
        <v>3.9230769230769229</v>
      </c>
    </row>
    <row r="17" spans="1:73" x14ac:dyDescent="0.35">
      <c r="A17" s="3">
        <v>16</v>
      </c>
      <c r="B17" s="3" t="s">
        <v>117</v>
      </c>
      <c r="C17" s="3" t="s">
        <v>36</v>
      </c>
      <c r="D17" s="1" t="s">
        <v>35</v>
      </c>
      <c r="E17" s="1">
        <v>4</v>
      </c>
      <c r="F17" s="1" t="s">
        <v>35</v>
      </c>
      <c r="G17" s="1">
        <v>5</v>
      </c>
      <c r="H17" s="1" t="s">
        <v>35</v>
      </c>
      <c r="I17" s="1">
        <v>5</v>
      </c>
      <c r="J17" t="s">
        <v>36</v>
      </c>
      <c r="K17">
        <v>5</v>
      </c>
      <c r="L17" s="1" t="s">
        <v>35</v>
      </c>
      <c r="M17" s="1">
        <v>4</v>
      </c>
      <c r="N17" t="s">
        <v>36</v>
      </c>
      <c r="O17">
        <v>4</v>
      </c>
      <c r="P17" s="1" t="s">
        <v>35</v>
      </c>
      <c r="Q17" s="1">
        <v>3</v>
      </c>
      <c r="R17" s="1" t="s">
        <v>35</v>
      </c>
      <c r="S17" s="1">
        <v>4</v>
      </c>
      <c r="T17" s="1" t="s">
        <v>35</v>
      </c>
      <c r="U17" s="1">
        <v>3</v>
      </c>
      <c r="V17" s="1" t="s">
        <v>35</v>
      </c>
      <c r="W17" s="1">
        <v>5</v>
      </c>
      <c r="X17" s="1" t="s">
        <v>35</v>
      </c>
      <c r="Y17" s="1">
        <v>3</v>
      </c>
      <c r="Z17" s="1" t="s">
        <v>35</v>
      </c>
      <c r="AA17" s="1">
        <v>5</v>
      </c>
      <c r="AB17" s="1" t="s">
        <v>35</v>
      </c>
      <c r="AC17" s="1">
        <v>4</v>
      </c>
      <c r="AD17" s="1" t="s">
        <v>35</v>
      </c>
      <c r="AE17" s="1">
        <v>2</v>
      </c>
      <c r="AF17" s="1" t="s">
        <v>35</v>
      </c>
      <c r="AG17" s="1">
        <v>5</v>
      </c>
      <c r="AH17" s="1" t="s">
        <v>35</v>
      </c>
      <c r="AI17" s="1">
        <v>5</v>
      </c>
      <c r="AJ17" s="1" t="s">
        <v>35</v>
      </c>
      <c r="AK17" s="1">
        <v>5</v>
      </c>
      <c r="AL17" s="1" t="s">
        <v>35</v>
      </c>
      <c r="AM17" s="1">
        <v>4</v>
      </c>
      <c r="AN17" s="1" t="s">
        <v>35</v>
      </c>
      <c r="AO17" s="1">
        <v>3</v>
      </c>
      <c r="AP17" s="1" t="s">
        <v>35</v>
      </c>
      <c r="AQ17" s="1">
        <v>3</v>
      </c>
      <c r="AR17" s="1" t="s">
        <v>35</v>
      </c>
      <c r="AS17" s="1">
        <v>2</v>
      </c>
      <c r="AT17" s="1" t="s">
        <v>35</v>
      </c>
      <c r="AU17" s="1">
        <v>4</v>
      </c>
      <c r="AV17" s="1" t="s">
        <v>35</v>
      </c>
      <c r="AW17" s="1">
        <v>4</v>
      </c>
      <c r="AX17" s="1" t="s">
        <v>35</v>
      </c>
      <c r="AY17" s="1">
        <v>3</v>
      </c>
      <c r="AZ17" s="1" t="s">
        <v>35</v>
      </c>
      <c r="BA17" s="1">
        <v>4</v>
      </c>
      <c r="BB17" s="1" t="s">
        <v>35</v>
      </c>
      <c r="BC17" s="1">
        <v>5</v>
      </c>
      <c r="BD17" s="1" t="s">
        <v>35</v>
      </c>
      <c r="BE17" s="1">
        <v>4</v>
      </c>
      <c r="BF17" s="1" t="s">
        <v>35</v>
      </c>
      <c r="BG17" s="1">
        <v>2</v>
      </c>
      <c r="BH17" s="1" t="s">
        <v>35</v>
      </c>
      <c r="BI17" s="1">
        <v>4</v>
      </c>
      <c r="BJ17" s="1" t="s">
        <v>35</v>
      </c>
      <c r="BK17" s="1">
        <v>4</v>
      </c>
      <c r="BL17" s="1" t="s">
        <v>35</v>
      </c>
      <c r="BM17" s="1">
        <v>4</v>
      </c>
      <c r="BN17" s="1" t="s">
        <v>35</v>
      </c>
      <c r="BO17" s="1">
        <v>3</v>
      </c>
      <c r="BP17" s="1" t="s">
        <v>35</v>
      </c>
      <c r="BQ17" s="1">
        <v>2</v>
      </c>
      <c r="BR17" s="1" t="s">
        <v>35</v>
      </c>
      <c r="BS17" s="1">
        <v>4</v>
      </c>
      <c r="BU17">
        <f>AVERAGE(O17,K17)</f>
        <v>4.5</v>
      </c>
    </row>
    <row r="18" spans="1:73" x14ac:dyDescent="0.35">
      <c r="A18" s="3">
        <v>17</v>
      </c>
      <c r="B18" s="3" t="s">
        <v>118</v>
      </c>
      <c r="C18" s="3" t="s">
        <v>36</v>
      </c>
      <c r="D18" t="s">
        <v>36</v>
      </c>
      <c r="E18">
        <v>4</v>
      </c>
      <c r="F18" t="s">
        <v>36</v>
      </c>
      <c r="G18">
        <v>5</v>
      </c>
      <c r="H18" t="s">
        <v>36</v>
      </c>
      <c r="I18">
        <v>4</v>
      </c>
      <c r="J18" s="1" t="s">
        <v>33</v>
      </c>
      <c r="K18" s="1">
        <v>3</v>
      </c>
      <c r="L18" t="s">
        <v>36</v>
      </c>
      <c r="M18">
        <v>3</v>
      </c>
      <c r="N18" t="s">
        <v>36</v>
      </c>
      <c r="O18">
        <v>4</v>
      </c>
      <c r="P18" s="1" t="s">
        <v>35</v>
      </c>
      <c r="Q18" s="1">
        <v>5</v>
      </c>
      <c r="R18" s="1" t="s">
        <v>35</v>
      </c>
      <c r="S18" s="1">
        <v>3</v>
      </c>
      <c r="T18" s="1" t="s">
        <v>35</v>
      </c>
      <c r="U18" s="1">
        <v>4</v>
      </c>
      <c r="V18" s="1" t="s">
        <v>35</v>
      </c>
      <c r="W18" s="1">
        <v>5</v>
      </c>
      <c r="X18" s="1" t="s">
        <v>35</v>
      </c>
      <c r="Y18" s="1">
        <v>4</v>
      </c>
      <c r="Z18" s="1" t="s">
        <v>35</v>
      </c>
      <c r="AA18" s="1">
        <v>5</v>
      </c>
      <c r="AB18" t="s">
        <v>36</v>
      </c>
      <c r="AC18">
        <v>3</v>
      </c>
      <c r="AD18" s="1" t="s">
        <v>35</v>
      </c>
      <c r="AE18" s="1">
        <v>4</v>
      </c>
      <c r="AF18" t="s">
        <v>36</v>
      </c>
      <c r="AG18">
        <v>2</v>
      </c>
      <c r="AH18" s="1" t="s">
        <v>35</v>
      </c>
      <c r="AI18" s="1">
        <v>5</v>
      </c>
      <c r="AJ18" s="1" t="s">
        <v>37</v>
      </c>
      <c r="AK18" s="1">
        <v>1</v>
      </c>
      <c r="AL18" s="1" t="s">
        <v>35</v>
      </c>
      <c r="AM18" s="1">
        <v>4</v>
      </c>
      <c r="AN18" s="1" t="s">
        <v>35</v>
      </c>
      <c r="AO18" s="1">
        <v>5</v>
      </c>
      <c r="AP18" s="1" t="s">
        <v>35</v>
      </c>
      <c r="AQ18" s="1">
        <v>4</v>
      </c>
      <c r="AR18" t="s">
        <v>36</v>
      </c>
      <c r="AS18">
        <v>4</v>
      </c>
      <c r="AT18" t="s">
        <v>36</v>
      </c>
      <c r="AU18">
        <v>4</v>
      </c>
      <c r="AV18" s="1" t="s">
        <v>35</v>
      </c>
      <c r="AW18" s="1">
        <v>4</v>
      </c>
      <c r="AX18" s="1" t="s">
        <v>35</v>
      </c>
      <c r="AY18" s="1">
        <v>5</v>
      </c>
      <c r="AZ18" t="s">
        <v>36</v>
      </c>
      <c r="BA18">
        <v>2</v>
      </c>
      <c r="BB18" t="s">
        <v>36</v>
      </c>
      <c r="BC18">
        <v>4</v>
      </c>
      <c r="BD18" s="1" t="s">
        <v>35</v>
      </c>
      <c r="BE18" s="1">
        <v>2</v>
      </c>
      <c r="BF18" s="1" t="s">
        <v>35</v>
      </c>
      <c r="BG18" s="1">
        <v>3</v>
      </c>
      <c r="BH18" s="1" t="s">
        <v>35</v>
      </c>
      <c r="BI18" s="1">
        <v>4</v>
      </c>
      <c r="BJ18" s="1" t="s">
        <v>35</v>
      </c>
      <c r="BK18" s="1">
        <v>3</v>
      </c>
      <c r="BL18" t="s">
        <v>36</v>
      </c>
      <c r="BM18">
        <v>2</v>
      </c>
      <c r="BN18" t="s">
        <v>36</v>
      </c>
      <c r="BO18">
        <v>2</v>
      </c>
      <c r="BP18" t="s">
        <v>36</v>
      </c>
      <c r="BQ18">
        <v>1</v>
      </c>
      <c r="BR18" s="1" t="s">
        <v>35</v>
      </c>
      <c r="BS18" s="1">
        <v>5</v>
      </c>
      <c r="BU18">
        <f>AVERAGE(BM18:BQ18,BA18:BC18,AS18:AU18,AG18,AC18,M18:O18,E18:I18)</f>
        <v>3.1428571428571428</v>
      </c>
    </row>
    <row r="19" spans="1:73" x14ac:dyDescent="0.35">
      <c r="A19" s="3">
        <v>18</v>
      </c>
      <c r="B19" s="3" t="s">
        <v>119</v>
      </c>
      <c r="C19" s="3" t="s">
        <v>36</v>
      </c>
      <c r="D19" t="s">
        <v>36</v>
      </c>
      <c r="E19">
        <v>2</v>
      </c>
      <c r="F19" s="1" t="s">
        <v>35</v>
      </c>
      <c r="G19" s="1">
        <v>4</v>
      </c>
      <c r="H19" s="1" t="s">
        <v>35</v>
      </c>
      <c r="I19" s="1">
        <v>5</v>
      </c>
      <c r="J19" s="1" t="s">
        <v>35</v>
      </c>
      <c r="K19" s="1">
        <v>5</v>
      </c>
      <c r="L19" t="s">
        <v>36</v>
      </c>
      <c r="M19">
        <v>1</v>
      </c>
      <c r="N19" s="1" t="s">
        <v>35</v>
      </c>
      <c r="O19" s="1">
        <v>4</v>
      </c>
      <c r="P19" s="1" t="s">
        <v>35</v>
      </c>
      <c r="Q19" s="1">
        <v>3</v>
      </c>
      <c r="R19" t="s">
        <v>36</v>
      </c>
      <c r="S19">
        <v>3</v>
      </c>
      <c r="T19" s="1" t="s">
        <v>32</v>
      </c>
      <c r="U19" s="1">
        <v>3</v>
      </c>
      <c r="V19" s="1" t="s">
        <v>35</v>
      </c>
      <c r="W19" s="1">
        <v>5</v>
      </c>
      <c r="X19" s="1" t="s">
        <v>34</v>
      </c>
      <c r="Y19" s="1">
        <v>4</v>
      </c>
      <c r="Z19" s="1" t="s">
        <v>35</v>
      </c>
      <c r="AA19" s="1">
        <v>5</v>
      </c>
      <c r="AB19" s="1" t="s">
        <v>35</v>
      </c>
      <c r="AC19" s="1">
        <v>3</v>
      </c>
      <c r="AD19" s="1" t="s">
        <v>35</v>
      </c>
      <c r="AE19" s="1">
        <v>3</v>
      </c>
      <c r="AF19" t="s">
        <v>36</v>
      </c>
      <c r="AG19">
        <v>3</v>
      </c>
      <c r="AH19" s="1" t="s">
        <v>35</v>
      </c>
      <c r="AI19" s="1">
        <v>5</v>
      </c>
      <c r="AJ19" s="1" t="s">
        <v>35</v>
      </c>
      <c r="AK19" s="1">
        <v>4</v>
      </c>
      <c r="AL19" s="1" t="s">
        <v>32</v>
      </c>
      <c r="AM19" s="1">
        <v>2</v>
      </c>
      <c r="AN19" t="s">
        <v>36</v>
      </c>
      <c r="AO19">
        <v>3</v>
      </c>
      <c r="AP19" s="1" t="s">
        <v>35</v>
      </c>
      <c r="AQ19" s="1">
        <v>3</v>
      </c>
      <c r="AR19" t="s">
        <v>36</v>
      </c>
      <c r="AS19">
        <v>3</v>
      </c>
      <c r="AT19" t="s">
        <v>36</v>
      </c>
      <c r="AU19">
        <v>4</v>
      </c>
      <c r="AV19" s="1" t="s">
        <v>35</v>
      </c>
      <c r="AW19" s="1">
        <v>4</v>
      </c>
      <c r="AX19" s="1" t="s">
        <v>35</v>
      </c>
      <c r="AY19" s="1">
        <v>5</v>
      </c>
      <c r="AZ19" t="s">
        <v>36</v>
      </c>
      <c r="BA19">
        <v>2</v>
      </c>
      <c r="BB19" t="s">
        <v>36</v>
      </c>
      <c r="BC19">
        <v>4</v>
      </c>
      <c r="BD19" t="s">
        <v>36</v>
      </c>
      <c r="BE19">
        <v>2</v>
      </c>
      <c r="BF19" s="1" t="s">
        <v>35</v>
      </c>
      <c r="BG19" s="1">
        <v>4</v>
      </c>
      <c r="BH19" s="1" t="s">
        <v>35</v>
      </c>
      <c r="BI19" s="1">
        <v>5</v>
      </c>
      <c r="BJ19" s="1" t="s">
        <v>35</v>
      </c>
      <c r="BK19" s="1">
        <v>4</v>
      </c>
      <c r="BL19" s="1" t="s">
        <v>35</v>
      </c>
      <c r="BM19" s="1">
        <v>3</v>
      </c>
      <c r="BN19" t="s">
        <v>36</v>
      </c>
      <c r="BO19">
        <v>5</v>
      </c>
      <c r="BP19" s="1" t="s">
        <v>35</v>
      </c>
      <c r="BQ19" s="1">
        <v>3</v>
      </c>
      <c r="BR19" t="s">
        <v>36</v>
      </c>
      <c r="BS19">
        <v>4</v>
      </c>
      <c r="BU19">
        <f>AVERAGE(BS19,BO19,BA19:BE19,AS19:AU19,AO19,AG19,S19,M19,E19)</f>
        <v>3</v>
      </c>
    </row>
    <row r="20" spans="1:73" x14ac:dyDescent="0.35">
      <c r="A20" s="3">
        <v>19</v>
      </c>
      <c r="B20" s="3" t="s">
        <v>120</v>
      </c>
      <c r="C20" s="3" t="s">
        <v>36</v>
      </c>
      <c r="D20" s="1" t="s">
        <v>35</v>
      </c>
      <c r="E20" s="1">
        <v>4</v>
      </c>
      <c r="F20" t="s">
        <v>36</v>
      </c>
      <c r="G20">
        <v>5</v>
      </c>
      <c r="H20" s="1" t="s">
        <v>35</v>
      </c>
      <c r="I20" s="1">
        <v>4</v>
      </c>
      <c r="J20" s="1" t="s">
        <v>35</v>
      </c>
      <c r="K20" s="1">
        <v>3</v>
      </c>
      <c r="L20" s="1" t="s">
        <v>35</v>
      </c>
      <c r="M20" s="1">
        <v>3</v>
      </c>
      <c r="N20" t="s">
        <v>36</v>
      </c>
      <c r="O20">
        <v>4</v>
      </c>
      <c r="P20" s="1" t="s">
        <v>35</v>
      </c>
      <c r="Q20" s="1">
        <v>4</v>
      </c>
      <c r="R20" t="s">
        <v>36</v>
      </c>
      <c r="S20">
        <v>4</v>
      </c>
      <c r="T20" t="s">
        <v>36</v>
      </c>
      <c r="U20">
        <v>3</v>
      </c>
      <c r="V20" s="1" t="s">
        <v>35</v>
      </c>
      <c r="W20" s="1">
        <v>5</v>
      </c>
      <c r="X20" s="1" t="s">
        <v>35</v>
      </c>
      <c r="Y20" s="1">
        <v>4</v>
      </c>
      <c r="Z20" s="1" t="s">
        <v>35</v>
      </c>
      <c r="AA20" s="1">
        <v>5</v>
      </c>
      <c r="AB20" t="s">
        <v>36</v>
      </c>
      <c r="AC20">
        <v>4</v>
      </c>
      <c r="AD20" t="s">
        <v>36</v>
      </c>
      <c r="AE20">
        <v>3</v>
      </c>
      <c r="AF20" s="1" t="s">
        <v>35</v>
      </c>
      <c r="AG20" s="1">
        <v>5</v>
      </c>
      <c r="AH20" s="1" t="s">
        <v>35</v>
      </c>
      <c r="AI20" s="1">
        <v>5</v>
      </c>
      <c r="AJ20" s="1" t="s">
        <v>35</v>
      </c>
      <c r="AK20" s="1">
        <v>4</v>
      </c>
      <c r="AL20" s="1" t="s">
        <v>35</v>
      </c>
      <c r="AM20" s="1">
        <v>5</v>
      </c>
      <c r="AN20" s="1" t="s">
        <v>35</v>
      </c>
      <c r="AO20" s="1">
        <v>4</v>
      </c>
      <c r="AP20" t="s">
        <v>36</v>
      </c>
      <c r="AQ20">
        <v>2</v>
      </c>
      <c r="AR20" s="1" t="s">
        <v>35</v>
      </c>
      <c r="AS20" s="1">
        <v>2</v>
      </c>
      <c r="AT20" s="1" t="s">
        <v>35</v>
      </c>
      <c r="AU20" s="1">
        <v>4</v>
      </c>
      <c r="AV20" t="s">
        <v>36</v>
      </c>
      <c r="AW20">
        <v>3</v>
      </c>
      <c r="AX20" s="1" t="s">
        <v>35</v>
      </c>
      <c r="AY20" s="1">
        <v>4</v>
      </c>
      <c r="AZ20" s="1" t="s">
        <v>35</v>
      </c>
      <c r="BA20" s="1">
        <v>4</v>
      </c>
      <c r="BB20" s="1" t="s">
        <v>35</v>
      </c>
      <c r="BC20" s="1">
        <v>5</v>
      </c>
      <c r="BD20" t="s">
        <v>36</v>
      </c>
      <c r="BE20">
        <v>3</v>
      </c>
      <c r="BF20" s="1" t="s">
        <v>35</v>
      </c>
      <c r="BG20" s="1">
        <v>4</v>
      </c>
      <c r="BH20" s="1" t="s">
        <v>35</v>
      </c>
      <c r="BI20" s="1">
        <v>4</v>
      </c>
      <c r="BJ20" s="1" t="s">
        <v>35</v>
      </c>
      <c r="BK20" s="1">
        <v>3</v>
      </c>
      <c r="BL20" s="1" t="s">
        <v>35</v>
      </c>
      <c r="BM20" s="1">
        <v>3</v>
      </c>
      <c r="BN20" s="1" t="s">
        <v>35</v>
      </c>
      <c r="BO20" s="1">
        <v>3</v>
      </c>
      <c r="BP20" s="1" t="s">
        <v>35</v>
      </c>
      <c r="BQ20" s="1">
        <v>4</v>
      </c>
      <c r="BR20" s="1" t="s">
        <v>35</v>
      </c>
      <c r="BS20" s="1">
        <v>5</v>
      </c>
      <c r="BU20">
        <f>AVERAGE(BE20,AW20,AQ20,AB20:AE20,R20:U20,O20,G20)</f>
        <v>3.4444444444444446</v>
      </c>
    </row>
    <row r="21" spans="1:73" x14ac:dyDescent="0.35">
      <c r="A21" s="3">
        <v>20</v>
      </c>
      <c r="B21" s="3" t="s">
        <v>121</v>
      </c>
      <c r="C21" s="3" t="s">
        <v>36</v>
      </c>
      <c r="D21" t="s">
        <v>36</v>
      </c>
      <c r="E21">
        <v>3</v>
      </c>
      <c r="F21" s="1" t="s">
        <v>35</v>
      </c>
      <c r="G21" s="1">
        <v>4</v>
      </c>
      <c r="H21" s="1" t="s">
        <v>35</v>
      </c>
      <c r="I21" s="1">
        <v>5</v>
      </c>
      <c r="J21" t="s">
        <v>36</v>
      </c>
      <c r="K21">
        <v>4</v>
      </c>
      <c r="L21" t="s">
        <v>36</v>
      </c>
      <c r="M21">
        <v>4</v>
      </c>
      <c r="N21" t="s">
        <v>36</v>
      </c>
      <c r="O21">
        <v>4</v>
      </c>
      <c r="P21" s="1" t="s">
        <v>35</v>
      </c>
      <c r="Q21" s="1">
        <v>5</v>
      </c>
      <c r="R21" s="1" t="s">
        <v>35</v>
      </c>
      <c r="S21" s="1">
        <v>4</v>
      </c>
      <c r="T21" t="s">
        <v>36</v>
      </c>
      <c r="U21">
        <v>3</v>
      </c>
      <c r="V21" s="1" t="s">
        <v>35</v>
      </c>
      <c r="W21" s="1">
        <v>5</v>
      </c>
      <c r="X21" s="1" t="s">
        <v>35</v>
      </c>
      <c r="Y21" s="1">
        <v>3</v>
      </c>
      <c r="Z21" t="s">
        <v>36</v>
      </c>
      <c r="AA21">
        <v>3</v>
      </c>
      <c r="AB21" t="s">
        <v>36</v>
      </c>
      <c r="AC21">
        <v>4</v>
      </c>
      <c r="AD21" s="1" t="s">
        <v>35</v>
      </c>
      <c r="AE21" s="1">
        <v>2</v>
      </c>
      <c r="AF21" t="s">
        <v>36</v>
      </c>
      <c r="AG21">
        <v>4</v>
      </c>
      <c r="AH21" s="1" t="s">
        <v>35</v>
      </c>
      <c r="AI21" s="1">
        <v>5</v>
      </c>
      <c r="AJ21" t="s">
        <v>36</v>
      </c>
      <c r="AK21">
        <v>2</v>
      </c>
      <c r="AL21" t="s">
        <v>36</v>
      </c>
      <c r="AM21">
        <v>2</v>
      </c>
      <c r="AN21" s="1" t="s">
        <v>35</v>
      </c>
      <c r="AO21" s="1">
        <v>4</v>
      </c>
      <c r="AP21" s="1" t="s">
        <v>35</v>
      </c>
      <c r="AQ21" s="1">
        <v>4</v>
      </c>
      <c r="AR21" t="s">
        <v>36</v>
      </c>
      <c r="AS21">
        <v>3</v>
      </c>
      <c r="AT21" t="s">
        <v>36</v>
      </c>
      <c r="AU21">
        <v>4</v>
      </c>
      <c r="AV21" t="s">
        <v>36</v>
      </c>
      <c r="AW21">
        <v>2</v>
      </c>
      <c r="AX21" s="1" t="s">
        <v>37</v>
      </c>
      <c r="AY21" s="1">
        <v>4</v>
      </c>
      <c r="AZ21" t="s">
        <v>36</v>
      </c>
      <c r="BA21">
        <v>1</v>
      </c>
      <c r="BB21" s="1" t="s">
        <v>35</v>
      </c>
      <c r="BC21" s="1">
        <v>4</v>
      </c>
      <c r="BD21" t="s">
        <v>36</v>
      </c>
      <c r="BE21">
        <v>3</v>
      </c>
      <c r="BF21" t="s">
        <v>36</v>
      </c>
      <c r="BG21">
        <v>2</v>
      </c>
      <c r="BH21" t="s">
        <v>36</v>
      </c>
      <c r="BI21">
        <v>2</v>
      </c>
      <c r="BJ21" t="s">
        <v>36</v>
      </c>
      <c r="BK21">
        <v>4</v>
      </c>
      <c r="BL21" t="s">
        <v>36</v>
      </c>
      <c r="BM21">
        <v>3</v>
      </c>
      <c r="BN21" s="1" t="s">
        <v>35</v>
      </c>
      <c r="BO21" s="1">
        <v>4</v>
      </c>
      <c r="BP21" s="1" t="s">
        <v>35</v>
      </c>
      <c r="BQ21" s="1">
        <v>4</v>
      </c>
      <c r="BR21" s="1" t="s">
        <v>35</v>
      </c>
      <c r="BS21" s="1">
        <v>5</v>
      </c>
      <c r="BU21">
        <f>AVERAGE(BD21:BM21,BA21,AR21:AW21,AJ21:AM21,AG21,AC21,AA21,U21,J21:O21,E21)</f>
        <v>3</v>
      </c>
    </row>
    <row r="22" spans="1:73" x14ac:dyDescent="0.35">
      <c r="A22" s="3">
        <v>21</v>
      </c>
      <c r="B22" s="3" t="s">
        <v>122</v>
      </c>
      <c r="C22" s="3" t="s">
        <v>36</v>
      </c>
      <c r="D22" t="s">
        <v>36</v>
      </c>
      <c r="E22">
        <v>4</v>
      </c>
      <c r="F22" t="s">
        <v>36</v>
      </c>
      <c r="G22">
        <v>3</v>
      </c>
      <c r="H22" s="1" t="s">
        <v>35</v>
      </c>
      <c r="I22" s="1">
        <v>5</v>
      </c>
      <c r="J22" t="s">
        <v>36</v>
      </c>
      <c r="K22">
        <v>4</v>
      </c>
      <c r="L22" t="s">
        <v>36</v>
      </c>
      <c r="M22">
        <v>1</v>
      </c>
      <c r="N22" t="s">
        <v>36</v>
      </c>
      <c r="O22">
        <v>4</v>
      </c>
      <c r="P22" s="1" t="s">
        <v>35</v>
      </c>
      <c r="Q22" s="1">
        <v>4</v>
      </c>
      <c r="R22" t="s">
        <v>36</v>
      </c>
      <c r="S22">
        <v>5</v>
      </c>
      <c r="T22" s="1" t="s">
        <v>32</v>
      </c>
      <c r="U22" s="1">
        <v>4</v>
      </c>
      <c r="V22" s="1" t="s">
        <v>35</v>
      </c>
      <c r="W22" s="1">
        <v>5</v>
      </c>
      <c r="X22" s="1" t="s">
        <v>35</v>
      </c>
      <c r="Y22" s="1">
        <v>4</v>
      </c>
      <c r="Z22" s="1" t="s">
        <v>35</v>
      </c>
      <c r="AA22" s="1">
        <v>5</v>
      </c>
      <c r="AB22" s="1" t="s">
        <v>35</v>
      </c>
      <c r="AC22" s="1">
        <v>4</v>
      </c>
      <c r="AD22" s="1" t="s">
        <v>32</v>
      </c>
      <c r="AE22" s="1">
        <v>4</v>
      </c>
      <c r="AF22" t="s">
        <v>36</v>
      </c>
      <c r="AG22">
        <v>5</v>
      </c>
      <c r="AH22" s="1" t="s">
        <v>32</v>
      </c>
      <c r="AI22" s="1">
        <v>3</v>
      </c>
      <c r="AJ22" t="s">
        <v>36</v>
      </c>
      <c r="AK22">
        <v>1</v>
      </c>
      <c r="AL22" s="1" t="s">
        <v>32</v>
      </c>
      <c r="AM22" s="1">
        <v>4</v>
      </c>
      <c r="AN22" t="s">
        <v>36</v>
      </c>
      <c r="AO22">
        <v>4</v>
      </c>
      <c r="AP22" s="1" t="s">
        <v>35</v>
      </c>
      <c r="AQ22" s="1">
        <v>3</v>
      </c>
      <c r="AR22" t="s">
        <v>36</v>
      </c>
      <c r="AS22">
        <v>4</v>
      </c>
      <c r="AT22" s="1" t="s">
        <v>32</v>
      </c>
      <c r="AU22" s="1">
        <v>5</v>
      </c>
      <c r="AV22" s="1" t="s">
        <v>32</v>
      </c>
      <c r="AW22" s="1">
        <v>3</v>
      </c>
      <c r="AX22" s="1" t="s">
        <v>35</v>
      </c>
      <c r="AY22" s="1">
        <v>5</v>
      </c>
      <c r="AZ22" t="s">
        <v>36</v>
      </c>
      <c r="BA22">
        <v>2</v>
      </c>
      <c r="BB22" t="s">
        <v>36</v>
      </c>
      <c r="BC22">
        <v>3</v>
      </c>
      <c r="BD22" s="1" t="s">
        <v>35</v>
      </c>
      <c r="BE22" s="1">
        <v>2</v>
      </c>
      <c r="BF22" t="s">
        <v>36</v>
      </c>
      <c r="BG22">
        <v>5</v>
      </c>
      <c r="BH22" s="1" t="s">
        <v>33</v>
      </c>
      <c r="BI22" s="1">
        <v>3</v>
      </c>
      <c r="BJ22" s="1" t="s">
        <v>35</v>
      </c>
      <c r="BK22" s="1">
        <v>3</v>
      </c>
      <c r="BL22" s="1" t="s">
        <v>35</v>
      </c>
      <c r="BM22" s="1">
        <v>3</v>
      </c>
      <c r="BN22" t="s">
        <v>36</v>
      </c>
      <c r="BO22">
        <v>4</v>
      </c>
      <c r="BP22" s="1" t="s">
        <v>32</v>
      </c>
      <c r="BQ22" s="1">
        <v>3</v>
      </c>
      <c r="BR22" s="1" t="s">
        <v>32</v>
      </c>
      <c r="BS22" s="1">
        <v>3</v>
      </c>
      <c r="BU22">
        <f>AVERAGE(BO22,BG22,BA22:BC22,AS22,AO22,AK22,AG22,S22,J22:O22,E22:G22)</f>
        <v>3.5</v>
      </c>
    </row>
    <row r="23" spans="1:73" x14ac:dyDescent="0.35">
      <c r="A23" s="3">
        <v>22</v>
      </c>
      <c r="B23" s="3" t="s">
        <v>123</v>
      </c>
      <c r="C23" s="3" t="s">
        <v>36</v>
      </c>
      <c r="D23" s="1" t="s">
        <v>35</v>
      </c>
      <c r="E23" s="1">
        <v>4</v>
      </c>
      <c r="F23" s="1" t="s">
        <v>35</v>
      </c>
      <c r="G23" s="1">
        <v>5</v>
      </c>
      <c r="H23" s="1" t="s">
        <v>35</v>
      </c>
      <c r="I23" s="1">
        <v>5</v>
      </c>
      <c r="J23" t="s">
        <v>36</v>
      </c>
      <c r="K23">
        <v>4</v>
      </c>
      <c r="L23" s="1" t="s">
        <v>35</v>
      </c>
      <c r="M23" s="1">
        <v>2</v>
      </c>
      <c r="N23" s="1" t="s">
        <v>35</v>
      </c>
      <c r="O23" s="1">
        <v>4</v>
      </c>
      <c r="P23" s="1" t="s">
        <v>37</v>
      </c>
      <c r="Q23" s="1">
        <v>3</v>
      </c>
      <c r="R23" s="1" t="s">
        <v>35</v>
      </c>
      <c r="S23" s="1">
        <v>4</v>
      </c>
      <c r="T23" s="1" t="s">
        <v>32</v>
      </c>
      <c r="U23" s="1">
        <v>4</v>
      </c>
      <c r="V23" s="1" t="s">
        <v>35</v>
      </c>
      <c r="W23" s="1">
        <v>5</v>
      </c>
      <c r="X23" s="1" t="s">
        <v>35</v>
      </c>
      <c r="Y23" s="1">
        <v>4</v>
      </c>
      <c r="Z23" s="1" t="s">
        <v>35</v>
      </c>
      <c r="AA23" s="1">
        <v>4</v>
      </c>
      <c r="AB23" s="1" t="s">
        <v>35</v>
      </c>
      <c r="AC23" s="1">
        <v>4</v>
      </c>
      <c r="AD23" s="1" t="s">
        <v>35</v>
      </c>
      <c r="AE23" s="1">
        <v>4</v>
      </c>
      <c r="AF23" s="1" t="s">
        <v>35</v>
      </c>
      <c r="AG23" s="1">
        <v>5</v>
      </c>
      <c r="AH23" s="1" t="s">
        <v>35</v>
      </c>
      <c r="AI23" s="1">
        <v>5</v>
      </c>
      <c r="AJ23" s="1" t="s">
        <v>35</v>
      </c>
      <c r="AK23" s="1">
        <v>4</v>
      </c>
      <c r="AL23" s="1" t="s">
        <v>35</v>
      </c>
      <c r="AM23" s="1">
        <v>4</v>
      </c>
      <c r="AN23" s="1" t="s">
        <v>35</v>
      </c>
      <c r="AO23" s="1">
        <v>4</v>
      </c>
      <c r="AP23" s="1" t="s">
        <v>35</v>
      </c>
      <c r="AQ23" s="1">
        <v>4</v>
      </c>
      <c r="AR23" s="1" t="s">
        <v>35</v>
      </c>
      <c r="AS23" s="1">
        <v>3</v>
      </c>
      <c r="AT23" s="1" t="s">
        <v>35</v>
      </c>
      <c r="AU23" s="1">
        <v>4</v>
      </c>
      <c r="AV23" s="1" t="s">
        <v>35</v>
      </c>
      <c r="AW23" s="1">
        <v>4</v>
      </c>
      <c r="AX23" s="1" t="s">
        <v>35</v>
      </c>
      <c r="AY23" s="1">
        <v>4</v>
      </c>
      <c r="AZ23" s="1" t="s">
        <v>35</v>
      </c>
      <c r="BA23" s="1">
        <v>2</v>
      </c>
      <c r="BB23" s="1" t="s">
        <v>35</v>
      </c>
      <c r="BC23" s="1">
        <v>4</v>
      </c>
      <c r="BD23" s="1" t="s">
        <v>35</v>
      </c>
      <c r="BE23" s="1">
        <v>2</v>
      </c>
      <c r="BF23" s="1" t="s">
        <v>35</v>
      </c>
      <c r="BG23" s="1">
        <v>2</v>
      </c>
      <c r="BH23" s="1" t="s">
        <v>35</v>
      </c>
      <c r="BI23" s="1">
        <v>4</v>
      </c>
      <c r="BJ23" s="1" t="s">
        <v>35</v>
      </c>
      <c r="BK23" s="1">
        <v>4</v>
      </c>
      <c r="BL23" s="1" t="s">
        <v>35</v>
      </c>
      <c r="BM23" s="1">
        <v>3</v>
      </c>
      <c r="BN23" s="1" t="s">
        <v>35</v>
      </c>
      <c r="BO23" s="1">
        <v>5</v>
      </c>
      <c r="BP23" s="1" t="s">
        <v>37</v>
      </c>
      <c r="BQ23" s="1">
        <v>3</v>
      </c>
      <c r="BR23" s="1" t="s">
        <v>35</v>
      </c>
      <c r="BS23">
        <v>3</v>
      </c>
      <c r="BU23">
        <v>4</v>
      </c>
    </row>
    <row r="24" spans="1:73" x14ac:dyDescent="0.35">
      <c r="A24" s="3">
        <v>23</v>
      </c>
      <c r="B24" s="3" t="s">
        <v>124</v>
      </c>
      <c r="C24" s="3" t="s">
        <v>36</v>
      </c>
      <c r="D24" t="s">
        <v>36</v>
      </c>
      <c r="E24">
        <v>3</v>
      </c>
      <c r="F24" s="1" t="s">
        <v>35</v>
      </c>
      <c r="G24" s="1">
        <v>4</v>
      </c>
      <c r="H24" s="1" t="s">
        <v>35</v>
      </c>
      <c r="I24" s="1">
        <v>5</v>
      </c>
      <c r="J24" t="s">
        <v>36</v>
      </c>
      <c r="K24">
        <v>4</v>
      </c>
      <c r="L24" t="s">
        <v>36</v>
      </c>
      <c r="M24">
        <v>1</v>
      </c>
      <c r="N24" t="s">
        <v>36</v>
      </c>
      <c r="O24">
        <v>3</v>
      </c>
      <c r="P24" s="1" t="s">
        <v>35</v>
      </c>
      <c r="Q24" s="1">
        <v>4</v>
      </c>
      <c r="R24" t="s">
        <v>36</v>
      </c>
      <c r="S24">
        <v>4</v>
      </c>
      <c r="T24" t="s">
        <v>36</v>
      </c>
      <c r="U24">
        <v>2</v>
      </c>
      <c r="V24" s="1" t="s">
        <v>32</v>
      </c>
      <c r="W24" s="1">
        <v>5</v>
      </c>
      <c r="X24" t="s">
        <v>36</v>
      </c>
      <c r="Y24">
        <v>4</v>
      </c>
      <c r="Z24" s="1" t="s">
        <v>35</v>
      </c>
      <c r="AA24" s="1">
        <v>5</v>
      </c>
      <c r="AB24" t="s">
        <v>36</v>
      </c>
      <c r="AC24">
        <v>3</v>
      </c>
      <c r="AD24" s="1" t="s">
        <v>35</v>
      </c>
      <c r="AE24" s="1">
        <v>3</v>
      </c>
      <c r="AF24" t="s">
        <v>36</v>
      </c>
      <c r="AG24">
        <v>4</v>
      </c>
      <c r="AH24" s="1" t="s">
        <v>32</v>
      </c>
      <c r="AI24" s="1">
        <v>2</v>
      </c>
      <c r="AJ24" s="1" t="s">
        <v>35</v>
      </c>
      <c r="AK24" s="1">
        <v>3</v>
      </c>
      <c r="AL24" s="1" t="s">
        <v>35</v>
      </c>
      <c r="AM24" s="1">
        <v>4</v>
      </c>
      <c r="AN24" s="1" t="s">
        <v>35</v>
      </c>
      <c r="AO24" s="1">
        <v>4</v>
      </c>
      <c r="AP24" s="1" t="s">
        <v>35</v>
      </c>
      <c r="AQ24" s="1">
        <v>4</v>
      </c>
      <c r="AR24" t="s">
        <v>36</v>
      </c>
      <c r="AS24">
        <v>3</v>
      </c>
      <c r="AT24" t="s">
        <v>36</v>
      </c>
      <c r="AU24">
        <v>5</v>
      </c>
      <c r="AV24" s="1" t="s">
        <v>35</v>
      </c>
      <c r="AW24" s="1">
        <v>4</v>
      </c>
      <c r="AX24" s="1" t="s">
        <v>35</v>
      </c>
      <c r="AY24" s="1">
        <v>5</v>
      </c>
      <c r="AZ24" s="1" t="s">
        <v>35</v>
      </c>
      <c r="BA24" s="1">
        <v>3</v>
      </c>
      <c r="BB24" s="1" t="s">
        <v>35</v>
      </c>
      <c r="BC24" s="1">
        <v>4</v>
      </c>
      <c r="BD24" t="s">
        <v>36</v>
      </c>
      <c r="BE24">
        <v>2</v>
      </c>
      <c r="BF24" t="s">
        <v>36</v>
      </c>
      <c r="BG24">
        <v>5</v>
      </c>
      <c r="BH24" t="s">
        <v>36</v>
      </c>
      <c r="BI24">
        <v>2</v>
      </c>
      <c r="BJ24" t="s">
        <v>36</v>
      </c>
      <c r="BK24">
        <v>5</v>
      </c>
      <c r="BL24" s="1" t="s">
        <v>35</v>
      </c>
      <c r="BM24" s="1">
        <v>2</v>
      </c>
      <c r="BN24" s="1" t="s">
        <v>35</v>
      </c>
      <c r="BO24" s="1">
        <v>3</v>
      </c>
      <c r="BP24" s="1" t="s">
        <v>35</v>
      </c>
      <c r="BQ24" s="1">
        <v>3</v>
      </c>
      <c r="BR24" s="1" t="s">
        <v>35</v>
      </c>
      <c r="BS24" s="1">
        <v>5</v>
      </c>
      <c r="BU24">
        <f>AVERAGE(BD24:BK24,AS24:AU24,AG24,AC24,Y24,S24:U24,J24:O24,E24)</f>
        <v>3.3333333333333335</v>
      </c>
    </row>
    <row r="25" spans="1:73" x14ac:dyDescent="0.35">
      <c r="A25" s="3">
        <v>24</v>
      </c>
      <c r="B25" s="3" t="s">
        <v>125</v>
      </c>
      <c r="C25" s="3" t="s">
        <v>36</v>
      </c>
      <c r="D25" t="s">
        <v>36</v>
      </c>
      <c r="E25">
        <v>3</v>
      </c>
      <c r="F25" t="s">
        <v>36</v>
      </c>
      <c r="G25">
        <v>4</v>
      </c>
      <c r="H25" s="1" t="s">
        <v>35</v>
      </c>
      <c r="I25" s="1">
        <v>5</v>
      </c>
      <c r="J25" s="1" t="s">
        <v>35</v>
      </c>
      <c r="K25" s="1">
        <v>5</v>
      </c>
      <c r="L25" t="s">
        <v>36</v>
      </c>
      <c r="M25">
        <v>3</v>
      </c>
      <c r="N25" t="s">
        <v>36</v>
      </c>
      <c r="O25">
        <v>4</v>
      </c>
      <c r="P25" s="1" t="s">
        <v>35</v>
      </c>
      <c r="Q25" s="1">
        <v>2</v>
      </c>
      <c r="R25" s="1" t="s">
        <v>35</v>
      </c>
      <c r="S25" s="1">
        <v>3</v>
      </c>
      <c r="T25" s="1" t="s">
        <v>35</v>
      </c>
      <c r="U25" s="1">
        <v>3</v>
      </c>
      <c r="V25" t="s">
        <v>36</v>
      </c>
      <c r="W25">
        <v>5</v>
      </c>
      <c r="X25" t="s">
        <v>36</v>
      </c>
      <c r="Y25">
        <v>4</v>
      </c>
      <c r="Z25" s="1" t="s">
        <v>35</v>
      </c>
      <c r="AA25" s="1">
        <v>4</v>
      </c>
      <c r="AB25" s="1" t="s">
        <v>35</v>
      </c>
      <c r="AC25" s="1">
        <v>4</v>
      </c>
      <c r="AD25" s="1" t="s">
        <v>35</v>
      </c>
      <c r="AE25" s="1">
        <v>4</v>
      </c>
      <c r="AF25" t="s">
        <v>36</v>
      </c>
      <c r="AG25">
        <v>4</v>
      </c>
      <c r="AH25" s="1" t="s">
        <v>35</v>
      </c>
      <c r="AI25" s="1">
        <v>4</v>
      </c>
      <c r="AJ25" s="1" t="s">
        <v>35</v>
      </c>
      <c r="AK25" s="1">
        <v>4</v>
      </c>
      <c r="AL25" t="s">
        <v>36</v>
      </c>
      <c r="AM25">
        <v>3</v>
      </c>
      <c r="AN25" t="s">
        <v>36</v>
      </c>
      <c r="AO25">
        <v>5</v>
      </c>
      <c r="AP25" t="s">
        <v>36</v>
      </c>
      <c r="AQ25">
        <v>2</v>
      </c>
      <c r="AR25" s="1" t="s">
        <v>35</v>
      </c>
      <c r="AS25" s="1">
        <v>3</v>
      </c>
      <c r="AT25" t="s">
        <v>36</v>
      </c>
      <c r="AU25">
        <v>5</v>
      </c>
      <c r="AV25" s="1" t="s">
        <v>32</v>
      </c>
      <c r="AW25" s="1">
        <v>3</v>
      </c>
      <c r="AX25" s="1" t="s">
        <v>35</v>
      </c>
      <c r="AY25" s="1">
        <v>5</v>
      </c>
      <c r="AZ25" t="s">
        <v>36</v>
      </c>
      <c r="BA25">
        <v>2</v>
      </c>
      <c r="BB25" t="s">
        <v>36</v>
      </c>
      <c r="BC25">
        <v>3</v>
      </c>
      <c r="BD25" s="1" t="s">
        <v>35</v>
      </c>
      <c r="BE25" s="1">
        <v>2</v>
      </c>
      <c r="BF25" t="s">
        <v>36</v>
      </c>
      <c r="BG25">
        <v>4</v>
      </c>
      <c r="BH25" s="1" t="s">
        <v>35</v>
      </c>
      <c r="BI25" s="1">
        <v>3</v>
      </c>
      <c r="BJ25" s="1" t="s">
        <v>35</v>
      </c>
      <c r="BK25" s="1">
        <v>4</v>
      </c>
      <c r="BL25" t="s">
        <v>36</v>
      </c>
      <c r="BM25">
        <v>3</v>
      </c>
      <c r="BN25" t="s">
        <v>36</v>
      </c>
      <c r="BO25">
        <v>4</v>
      </c>
      <c r="BP25" s="1" t="s">
        <v>35</v>
      </c>
      <c r="BQ25" s="1">
        <v>4</v>
      </c>
      <c r="BR25" t="s">
        <v>36</v>
      </c>
      <c r="BS25">
        <v>2</v>
      </c>
      <c r="BU25">
        <f>AVERAGE(BS25,BM25:BO25,BG25,BA25:BC25,AU25,AL25:AQ25,AG25,W25:Y25,L25:O25,E25:G25)</f>
        <v>3.5294117647058822</v>
      </c>
    </row>
    <row r="26" spans="1:73" x14ac:dyDescent="0.35">
      <c r="A26" s="3">
        <v>25</v>
      </c>
      <c r="B26" s="3" t="s">
        <v>126</v>
      </c>
      <c r="C26" s="3" t="s">
        <v>37</v>
      </c>
      <c r="D26" t="s">
        <v>37</v>
      </c>
      <c r="E26">
        <v>5</v>
      </c>
      <c r="F26" t="s">
        <v>37</v>
      </c>
      <c r="G26">
        <v>4</v>
      </c>
      <c r="H26" t="s">
        <v>37</v>
      </c>
      <c r="I26">
        <v>2</v>
      </c>
      <c r="J26" t="s">
        <v>37</v>
      </c>
      <c r="K26">
        <v>5</v>
      </c>
      <c r="L26" t="s">
        <v>37</v>
      </c>
      <c r="M26">
        <v>4</v>
      </c>
      <c r="N26" t="s">
        <v>37</v>
      </c>
      <c r="O26">
        <v>3</v>
      </c>
      <c r="P26" t="s">
        <v>37</v>
      </c>
      <c r="Q26">
        <v>5</v>
      </c>
      <c r="R26" t="s">
        <v>37</v>
      </c>
      <c r="S26">
        <v>5</v>
      </c>
      <c r="T26" t="s">
        <v>37</v>
      </c>
      <c r="U26">
        <v>4</v>
      </c>
      <c r="V26" t="s">
        <v>37</v>
      </c>
      <c r="W26">
        <v>5</v>
      </c>
      <c r="X26" t="s">
        <v>37</v>
      </c>
      <c r="Y26">
        <v>4</v>
      </c>
      <c r="Z26" t="s">
        <v>37</v>
      </c>
      <c r="AA26">
        <v>2</v>
      </c>
      <c r="AB26" s="1" t="s">
        <v>32</v>
      </c>
      <c r="AC26" s="1">
        <v>3</v>
      </c>
      <c r="AD26" t="s">
        <v>37</v>
      </c>
      <c r="AE26">
        <v>3</v>
      </c>
      <c r="AF26" t="s">
        <v>37</v>
      </c>
      <c r="AG26">
        <v>4</v>
      </c>
      <c r="AH26" t="s">
        <v>37</v>
      </c>
      <c r="AI26">
        <v>5</v>
      </c>
      <c r="AJ26" t="s">
        <v>37</v>
      </c>
      <c r="AK26">
        <v>4</v>
      </c>
      <c r="AL26" s="1" t="s">
        <v>35</v>
      </c>
      <c r="AM26" s="1">
        <v>1</v>
      </c>
      <c r="AN26" t="s">
        <v>37</v>
      </c>
      <c r="AO26">
        <v>4</v>
      </c>
      <c r="AP26" t="s">
        <v>37</v>
      </c>
      <c r="AQ26">
        <v>2</v>
      </c>
      <c r="AR26" t="s">
        <v>37</v>
      </c>
      <c r="AS26">
        <v>2</v>
      </c>
      <c r="AT26" t="s">
        <v>37</v>
      </c>
      <c r="AU26">
        <v>4</v>
      </c>
      <c r="AV26" t="s">
        <v>37</v>
      </c>
      <c r="AW26">
        <v>4</v>
      </c>
      <c r="AX26" t="s">
        <v>37</v>
      </c>
      <c r="AY26">
        <v>5</v>
      </c>
      <c r="AZ26" t="s">
        <v>37</v>
      </c>
      <c r="BA26">
        <v>4</v>
      </c>
      <c r="BB26" t="s">
        <v>37</v>
      </c>
      <c r="BC26">
        <v>4</v>
      </c>
      <c r="BD26" t="s">
        <v>37</v>
      </c>
      <c r="BE26">
        <v>3</v>
      </c>
      <c r="BF26" t="s">
        <v>37</v>
      </c>
      <c r="BG26">
        <v>4</v>
      </c>
      <c r="BH26" t="s">
        <v>37</v>
      </c>
      <c r="BI26">
        <v>5</v>
      </c>
      <c r="BJ26" t="s">
        <v>37</v>
      </c>
      <c r="BK26">
        <v>2</v>
      </c>
      <c r="BL26" t="s">
        <v>37</v>
      </c>
      <c r="BM26">
        <v>3</v>
      </c>
      <c r="BN26" t="s">
        <v>37</v>
      </c>
      <c r="BO26">
        <v>5</v>
      </c>
      <c r="BP26" s="1" t="s">
        <v>35</v>
      </c>
      <c r="BQ26" s="1">
        <v>1</v>
      </c>
      <c r="BR26" t="s">
        <v>37</v>
      </c>
      <c r="BS26">
        <v>5</v>
      </c>
      <c r="BU26">
        <f>AVERAGE(BS26,AN26:BO26,AD26:AK26,E26:AA26)</f>
        <v>3.870967741935484</v>
      </c>
    </row>
    <row r="27" spans="1:73" x14ac:dyDescent="0.35">
      <c r="A27" s="3">
        <v>26</v>
      </c>
      <c r="B27" s="3" t="s">
        <v>127</v>
      </c>
      <c r="C27" s="3" t="s">
        <v>37</v>
      </c>
      <c r="D27" t="s">
        <v>37</v>
      </c>
      <c r="E27">
        <v>5</v>
      </c>
      <c r="F27" t="s">
        <v>37</v>
      </c>
      <c r="G27">
        <v>5</v>
      </c>
      <c r="H27" t="s">
        <v>37</v>
      </c>
      <c r="I27">
        <v>4</v>
      </c>
      <c r="J27" t="s">
        <v>37</v>
      </c>
      <c r="K27">
        <v>5</v>
      </c>
      <c r="L27" t="s">
        <v>37</v>
      </c>
      <c r="M27">
        <v>4</v>
      </c>
      <c r="N27" t="s">
        <v>37</v>
      </c>
      <c r="O27">
        <v>5</v>
      </c>
      <c r="P27" t="s">
        <v>37</v>
      </c>
      <c r="Q27">
        <v>5</v>
      </c>
      <c r="R27" t="s">
        <v>37</v>
      </c>
      <c r="S27">
        <v>5</v>
      </c>
      <c r="T27" t="s">
        <v>37</v>
      </c>
      <c r="U27">
        <v>4</v>
      </c>
      <c r="V27" t="s">
        <v>37</v>
      </c>
      <c r="W27">
        <v>3</v>
      </c>
      <c r="X27" t="s">
        <v>37</v>
      </c>
      <c r="Y27">
        <v>4</v>
      </c>
      <c r="Z27" t="s">
        <v>37</v>
      </c>
      <c r="AA27">
        <v>3</v>
      </c>
      <c r="AB27" t="s">
        <v>37</v>
      </c>
      <c r="AC27">
        <v>5</v>
      </c>
      <c r="AD27" t="s">
        <v>37</v>
      </c>
      <c r="AE27">
        <v>4</v>
      </c>
      <c r="AF27" t="s">
        <v>37</v>
      </c>
      <c r="AG27">
        <v>4</v>
      </c>
      <c r="AH27" t="s">
        <v>37</v>
      </c>
      <c r="AI27">
        <v>5</v>
      </c>
      <c r="AJ27" t="s">
        <v>37</v>
      </c>
      <c r="AK27">
        <v>5</v>
      </c>
      <c r="AL27" t="s">
        <v>37</v>
      </c>
      <c r="AM27">
        <v>5</v>
      </c>
      <c r="AN27" t="s">
        <v>37</v>
      </c>
      <c r="AO27">
        <v>4</v>
      </c>
      <c r="AP27" t="s">
        <v>37</v>
      </c>
      <c r="AQ27">
        <v>5</v>
      </c>
      <c r="AR27" t="s">
        <v>37</v>
      </c>
      <c r="AS27">
        <v>2</v>
      </c>
      <c r="AT27" t="s">
        <v>37</v>
      </c>
      <c r="AU27">
        <v>4</v>
      </c>
      <c r="AV27" t="s">
        <v>37</v>
      </c>
      <c r="AW27">
        <v>4</v>
      </c>
      <c r="AX27" t="s">
        <v>37</v>
      </c>
      <c r="AY27">
        <v>5</v>
      </c>
      <c r="AZ27" t="s">
        <v>37</v>
      </c>
      <c r="BA27">
        <v>3</v>
      </c>
      <c r="BB27" t="s">
        <v>37</v>
      </c>
      <c r="BC27">
        <v>3</v>
      </c>
      <c r="BD27" t="s">
        <v>37</v>
      </c>
      <c r="BE27">
        <v>3</v>
      </c>
      <c r="BF27" t="s">
        <v>37</v>
      </c>
      <c r="BG27">
        <v>4</v>
      </c>
      <c r="BH27" t="s">
        <v>37</v>
      </c>
      <c r="BI27">
        <v>5</v>
      </c>
      <c r="BJ27" t="s">
        <v>37</v>
      </c>
      <c r="BK27">
        <v>3</v>
      </c>
      <c r="BL27" t="s">
        <v>37</v>
      </c>
      <c r="BM27">
        <v>2</v>
      </c>
      <c r="BN27" t="s">
        <v>37</v>
      </c>
      <c r="BO27">
        <v>5</v>
      </c>
      <c r="BP27" t="s">
        <v>37</v>
      </c>
      <c r="BQ27">
        <v>5</v>
      </c>
      <c r="BR27" t="s">
        <v>37</v>
      </c>
      <c r="BS27">
        <v>5</v>
      </c>
      <c r="BU27">
        <f>AVERAGE(E27:BS27)</f>
        <v>4.1764705882352944</v>
      </c>
    </row>
    <row r="28" spans="1:73" x14ac:dyDescent="0.35">
      <c r="A28" s="3">
        <v>27</v>
      </c>
      <c r="B28" s="3" t="s">
        <v>128</v>
      </c>
      <c r="C28" s="3" t="s">
        <v>37</v>
      </c>
      <c r="D28" t="s">
        <v>37</v>
      </c>
      <c r="E28">
        <v>5</v>
      </c>
      <c r="F28" t="s">
        <v>37</v>
      </c>
      <c r="G28">
        <v>5</v>
      </c>
      <c r="H28" t="s">
        <v>37</v>
      </c>
      <c r="I28">
        <v>3</v>
      </c>
      <c r="J28" t="s">
        <v>37</v>
      </c>
      <c r="K28">
        <v>4</v>
      </c>
      <c r="L28" t="s">
        <v>37</v>
      </c>
      <c r="M28">
        <v>5</v>
      </c>
      <c r="N28" t="s">
        <v>37</v>
      </c>
      <c r="O28">
        <v>7</v>
      </c>
      <c r="P28" t="s">
        <v>37</v>
      </c>
      <c r="Q28">
        <v>5</v>
      </c>
      <c r="R28" t="s">
        <v>37</v>
      </c>
      <c r="S28">
        <v>5</v>
      </c>
      <c r="T28" t="s">
        <v>37</v>
      </c>
      <c r="U28">
        <v>4</v>
      </c>
      <c r="V28" t="s">
        <v>37</v>
      </c>
      <c r="W28">
        <v>5</v>
      </c>
      <c r="X28" t="s">
        <v>37</v>
      </c>
      <c r="Y28">
        <v>5</v>
      </c>
      <c r="Z28" t="s">
        <v>37</v>
      </c>
      <c r="AA28">
        <v>3</v>
      </c>
      <c r="AB28" t="s">
        <v>37</v>
      </c>
      <c r="AC28">
        <v>5</v>
      </c>
      <c r="AD28" t="s">
        <v>37</v>
      </c>
      <c r="AE28">
        <v>5</v>
      </c>
      <c r="AF28" t="s">
        <v>37</v>
      </c>
      <c r="AG28">
        <v>5</v>
      </c>
      <c r="AH28" t="s">
        <v>37</v>
      </c>
      <c r="AI28">
        <v>5</v>
      </c>
      <c r="AJ28" t="s">
        <v>37</v>
      </c>
      <c r="AK28">
        <v>1</v>
      </c>
      <c r="AL28" t="s">
        <v>37</v>
      </c>
      <c r="AM28">
        <v>5</v>
      </c>
      <c r="AN28" t="s">
        <v>37</v>
      </c>
      <c r="AO28">
        <v>4</v>
      </c>
      <c r="AP28" t="s">
        <v>37</v>
      </c>
      <c r="AQ28">
        <v>5</v>
      </c>
      <c r="AR28" t="s">
        <v>37</v>
      </c>
      <c r="AS28">
        <v>4</v>
      </c>
      <c r="AT28" t="s">
        <v>37</v>
      </c>
      <c r="AU28">
        <v>5</v>
      </c>
      <c r="AV28" t="s">
        <v>37</v>
      </c>
      <c r="AW28">
        <v>5</v>
      </c>
      <c r="AX28" t="s">
        <v>37</v>
      </c>
      <c r="AY28">
        <v>5</v>
      </c>
      <c r="AZ28" t="s">
        <v>37</v>
      </c>
      <c r="BA28">
        <v>4</v>
      </c>
      <c r="BB28" t="s">
        <v>37</v>
      </c>
      <c r="BC28">
        <v>4</v>
      </c>
      <c r="BD28" t="s">
        <v>37</v>
      </c>
      <c r="BE28">
        <v>5</v>
      </c>
      <c r="BF28" t="s">
        <v>37</v>
      </c>
      <c r="BG28">
        <v>5</v>
      </c>
      <c r="BH28" t="s">
        <v>37</v>
      </c>
      <c r="BI28">
        <v>2</v>
      </c>
      <c r="BJ28" t="s">
        <v>37</v>
      </c>
      <c r="BK28">
        <v>5</v>
      </c>
      <c r="BL28" t="s">
        <v>37</v>
      </c>
      <c r="BM28">
        <v>5</v>
      </c>
      <c r="BN28" t="s">
        <v>37</v>
      </c>
      <c r="BO28">
        <v>5</v>
      </c>
      <c r="BP28" t="s">
        <v>37</v>
      </c>
      <c r="BQ28">
        <v>4</v>
      </c>
      <c r="BR28" t="s">
        <v>37</v>
      </c>
      <c r="BS28">
        <v>5</v>
      </c>
      <c r="BU28">
        <f>AVERAGE(E28:BS28)</f>
        <v>4.5294117647058822</v>
      </c>
    </row>
    <row r="29" spans="1:73" x14ac:dyDescent="0.35">
      <c r="A29" s="3">
        <v>28</v>
      </c>
      <c r="B29" s="3" t="s">
        <v>129</v>
      </c>
      <c r="C29" s="3" t="s">
        <v>37</v>
      </c>
      <c r="D29" t="s">
        <v>37</v>
      </c>
      <c r="E29">
        <v>1</v>
      </c>
      <c r="F29" t="s">
        <v>37</v>
      </c>
      <c r="G29">
        <v>5</v>
      </c>
      <c r="H29" s="1" t="s">
        <v>35</v>
      </c>
      <c r="I29" s="1">
        <v>1</v>
      </c>
      <c r="J29" t="s">
        <v>37</v>
      </c>
      <c r="K29">
        <v>4</v>
      </c>
      <c r="L29" t="s">
        <v>37</v>
      </c>
      <c r="M29">
        <v>1</v>
      </c>
      <c r="N29" t="s">
        <v>37</v>
      </c>
      <c r="O29">
        <v>4</v>
      </c>
      <c r="P29" t="s">
        <v>37</v>
      </c>
      <c r="Q29">
        <v>3</v>
      </c>
      <c r="R29" s="1" t="s">
        <v>35</v>
      </c>
      <c r="S29" s="1">
        <v>3</v>
      </c>
      <c r="T29" t="s">
        <v>37</v>
      </c>
      <c r="U29">
        <v>3</v>
      </c>
      <c r="V29" t="s">
        <v>37</v>
      </c>
      <c r="W29">
        <v>5</v>
      </c>
      <c r="X29" t="s">
        <v>37</v>
      </c>
      <c r="Y29">
        <v>4</v>
      </c>
      <c r="Z29" t="s">
        <v>37</v>
      </c>
      <c r="AA29">
        <v>2</v>
      </c>
      <c r="AB29" t="s">
        <v>37</v>
      </c>
      <c r="AC29">
        <v>5</v>
      </c>
      <c r="AD29" t="s">
        <v>37</v>
      </c>
      <c r="AE29">
        <v>3</v>
      </c>
      <c r="AF29" t="s">
        <v>37</v>
      </c>
      <c r="AG29">
        <v>5</v>
      </c>
      <c r="AH29" t="s">
        <v>37</v>
      </c>
      <c r="AI29">
        <v>3</v>
      </c>
      <c r="AJ29" s="1" t="s">
        <v>36</v>
      </c>
      <c r="AK29" s="1">
        <v>1</v>
      </c>
      <c r="AL29" s="1" t="s">
        <v>32</v>
      </c>
      <c r="AM29" s="1">
        <v>2</v>
      </c>
      <c r="AN29" t="s">
        <v>37</v>
      </c>
      <c r="AO29">
        <v>3</v>
      </c>
      <c r="AP29" t="s">
        <v>37</v>
      </c>
      <c r="AQ29">
        <v>3</v>
      </c>
      <c r="AR29" t="s">
        <v>37</v>
      </c>
      <c r="AS29">
        <v>2</v>
      </c>
      <c r="AT29" t="s">
        <v>37</v>
      </c>
      <c r="AU29">
        <v>5</v>
      </c>
      <c r="AV29" t="s">
        <v>37</v>
      </c>
      <c r="AW29">
        <v>4</v>
      </c>
      <c r="AX29" t="s">
        <v>37</v>
      </c>
      <c r="AY29">
        <v>3</v>
      </c>
      <c r="AZ29" t="s">
        <v>37</v>
      </c>
      <c r="BA29">
        <v>3</v>
      </c>
      <c r="BB29" t="s">
        <v>37</v>
      </c>
      <c r="BC29">
        <v>4</v>
      </c>
      <c r="BD29" s="1" t="s">
        <v>32</v>
      </c>
      <c r="BE29" s="1">
        <v>1</v>
      </c>
      <c r="BF29" t="s">
        <v>37</v>
      </c>
      <c r="BG29">
        <v>2</v>
      </c>
      <c r="BH29" t="s">
        <v>37</v>
      </c>
      <c r="BI29">
        <v>4</v>
      </c>
      <c r="BJ29" t="s">
        <v>37</v>
      </c>
      <c r="BK29">
        <v>2</v>
      </c>
      <c r="BL29" t="s">
        <v>37</v>
      </c>
      <c r="BM29">
        <v>4</v>
      </c>
      <c r="BN29" t="s">
        <v>37</v>
      </c>
      <c r="BO29">
        <v>4</v>
      </c>
      <c r="BP29" t="s">
        <v>37</v>
      </c>
      <c r="BQ29">
        <v>2</v>
      </c>
      <c r="BR29" t="s">
        <v>37</v>
      </c>
      <c r="BS29">
        <v>4</v>
      </c>
      <c r="BU29">
        <f>AVERAGE(BF29:BS29,AN29:BC29,T29:AI29,J29:Q29,D29:G29)</f>
        <v>3.3448275862068964</v>
      </c>
    </row>
    <row r="30" spans="1:73" x14ac:dyDescent="0.35">
      <c r="A30" s="3">
        <v>29</v>
      </c>
      <c r="B30" s="3" t="s">
        <v>130</v>
      </c>
      <c r="C30" s="3" t="s">
        <v>37</v>
      </c>
      <c r="D30" t="s">
        <v>37</v>
      </c>
      <c r="E30">
        <v>3</v>
      </c>
      <c r="F30" t="s">
        <v>37</v>
      </c>
      <c r="G30">
        <v>5</v>
      </c>
      <c r="H30" s="1" t="s">
        <v>35</v>
      </c>
      <c r="I30" s="1">
        <v>3</v>
      </c>
      <c r="J30" t="s">
        <v>37</v>
      </c>
      <c r="K30">
        <v>4</v>
      </c>
      <c r="L30" t="s">
        <v>37</v>
      </c>
      <c r="M30">
        <v>4</v>
      </c>
      <c r="N30" t="s">
        <v>37</v>
      </c>
      <c r="O30">
        <v>4</v>
      </c>
      <c r="P30" s="1" t="s">
        <v>35</v>
      </c>
      <c r="Q30" s="1">
        <v>5</v>
      </c>
      <c r="R30" t="s">
        <v>37</v>
      </c>
      <c r="S30">
        <v>4</v>
      </c>
      <c r="T30" t="s">
        <v>37</v>
      </c>
      <c r="U30">
        <v>3</v>
      </c>
      <c r="V30" t="s">
        <v>37</v>
      </c>
      <c r="W30">
        <v>5</v>
      </c>
      <c r="X30" t="s">
        <v>37</v>
      </c>
      <c r="Y30">
        <v>4</v>
      </c>
      <c r="Z30" t="s">
        <v>37</v>
      </c>
      <c r="AA30">
        <v>3</v>
      </c>
      <c r="AB30" t="s">
        <v>37</v>
      </c>
      <c r="AC30">
        <v>5</v>
      </c>
      <c r="AD30" t="s">
        <v>37</v>
      </c>
      <c r="AE30">
        <v>3</v>
      </c>
      <c r="AF30" t="s">
        <v>37</v>
      </c>
      <c r="AG30">
        <v>3</v>
      </c>
      <c r="AH30" t="s">
        <v>37</v>
      </c>
      <c r="AI30">
        <v>5</v>
      </c>
      <c r="AJ30" t="s">
        <v>37</v>
      </c>
      <c r="AK30">
        <v>5</v>
      </c>
      <c r="AL30" s="1" t="s">
        <v>35</v>
      </c>
      <c r="AM30" s="1">
        <v>1</v>
      </c>
      <c r="AN30" t="s">
        <v>37</v>
      </c>
      <c r="AO30">
        <v>4</v>
      </c>
      <c r="AP30" s="1" t="s">
        <v>35</v>
      </c>
      <c r="AQ30" s="1">
        <v>2</v>
      </c>
      <c r="AR30" t="s">
        <v>37</v>
      </c>
      <c r="AS30">
        <v>3</v>
      </c>
      <c r="AT30" s="1" t="s">
        <v>32</v>
      </c>
      <c r="AU30" s="1">
        <v>4</v>
      </c>
      <c r="AV30" t="s">
        <v>37</v>
      </c>
      <c r="AW30">
        <v>3</v>
      </c>
      <c r="AX30" t="s">
        <v>37</v>
      </c>
      <c r="AY30">
        <v>5</v>
      </c>
      <c r="AZ30" t="s">
        <v>37</v>
      </c>
      <c r="BA30">
        <v>3</v>
      </c>
      <c r="BB30" t="s">
        <v>37</v>
      </c>
      <c r="BC30">
        <v>4</v>
      </c>
      <c r="BD30" t="s">
        <v>37</v>
      </c>
      <c r="BE30">
        <v>1</v>
      </c>
      <c r="BF30" t="s">
        <v>37</v>
      </c>
      <c r="BG30">
        <v>3</v>
      </c>
      <c r="BH30" t="s">
        <v>37</v>
      </c>
      <c r="BI30">
        <v>5</v>
      </c>
      <c r="BJ30" t="s">
        <v>37</v>
      </c>
      <c r="BK30">
        <v>2</v>
      </c>
      <c r="BL30" t="s">
        <v>37</v>
      </c>
      <c r="BM30">
        <v>1</v>
      </c>
      <c r="BN30" t="s">
        <v>37</v>
      </c>
      <c r="BO30">
        <v>2</v>
      </c>
      <c r="BP30" t="s">
        <v>37</v>
      </c>
      <c r="BQ30">
        <v>3</v>
      </c>
      <c r="BR30" t="s">
        <v>37</v>
      </c>
      <c r="BS30">
        <v>2</v>
      </c>
      <c r="BU30">
        <f>AVERAGE(AV30:BS30,AS30,AO30,AK30,S30:AI30,J30:O30,E30:G30)</f>
        <v>3.4827586206896552</v>
      </c>
    </row>
    <row r="31" spans="1:73" x14ac:dyDescent="0.35">
      <c r="A31" s="3">
        <v>30</v>
      </c>
      <c r="B31" s="3" t="s">
        <v>131</v>
      </c>
      <c r="C31" s="3" t="s">
        <v>37</v>
      </c>
      <c r="D31" t="s">
        <v>37</v>
      </c>
      <c r="E31">
        <v>5</v>
      </c>
      <c r="F31" t="s">
        <v>37</v>
      </c>
      <c r="G31">
        <v>5</v>
      </c>
      <c r="H31" t="s">
        <v>37</v>
      </c>
      <c r="I31">
        <v>2</v>
      </c>
      <c r="J31" t="s">
        <v>37</v>
      </c>
      <c r="K31">
        <v>4</v>
      </c>
      <c r="L31" t="s">
        <v>37</v>
      </c>
      <c r="M31">
        <v>4</v>
      </c>
      <c r="N31" t="s">
        <v>37</v>
      </c>
      <c r="O31">
        <v>4</v>
      </c>
      <c r="P31" t="s">
        <v>37</v>
      </c>
      <c r="Q31">
        <v>5</v>
      </c>
      <c r="R31" t="s">
        <v>35</v>
      </c>
      <c r="S31">
        <v>5</v>
      </c>
      <c r="T31" t="s">
        <v>37</v>
      </c>
      <c r="U31">
        <v>3</v>
      </c>
      <c r="V31" t="s">
        <v>37</v>
      </c>
      <c r="W31">
        <v>5</v>
      </c>
      <c r="X31" t="s">
        <v>37</v>
      </c>
      <c r="Y31">
        <v>4</v>
      </c>
      <c r="Z31" t="s">
        <v>37</v>
      </c>
      <c r="AA31">
        <v>1</v>
      </c>
      <c r="AB31" t="s">
        <v>37</v>
      </c>
      <c r="AC31">
        <v>5</v>
      </c>
      <c r="AD31" t="s">
        <v>37</v>
      </c>
      <c r="AE31">
        <v>3</v>
      </c>
      <c r="AF31" t="s">
        <v>37</v>
      </c>
      <c r="AG31">
        <v>4</v>
      </c>
      <c r="AH31" t="s">
        <v>37</v>
      </c>
      <c r="AI31">
        <v>5</v>
      </c>
      <c r="AJ31" t="s">
        <v>37</v>
      </c>
      <c r="AK31">
        <v>5</v>
      </c>
      <c r="AL31" t="s">
        <v>37</v>
      </c>
      <c r="AM31">
        <v>5</v>
      </c>
      <c r="AN31" t="s">
        <v>37</v>
      </c>
      <c r="AO31">
        <v>4</v>
      </c>
      <c r="AP31" t="s">
        <v>37</v>
      </c>
      <c r="AQ31">
        <v>5</v>
      </c>
      <c r="AR31" t="s">
        <v>37</v>
      </c>
      <c r="AS31">
        <v>2</v>
      </c>
      <c r="AT31" t="s">
        <v>37</v>
      </c>
      <c r="AU31">
        <v>4</v>
      </c>
      <c r="AV31" t="s">
        <v>37</v>
      </c>
      <c r="AW31">
        <v>3</v>
      </c>
      <c r="AX31" t="s">
        <v>37</v>
      </c>
      <c r="AY31">
        <v>5</v>
      </c>
      <c r="AZ31" t="s">
        <v>37</v>
      </c>
      <c r="BA31">
        <v>3</v>
      </c>
      <c r="BB31" t="s">
        <v>37</v>
      </c>
      <c r="BC31">
        <v>4</v>
      </c>
      <c r="BD31" s="1" t="s">
        <v>36</v>
      </c>
      <c r="BE31" s="1">
        <v>2</v>
      </c>
      <c r="BF31" s="1" t="s">
        <v>35</v>
      </c>
      <c r="BG31" s="1">
        <v>2</v>
      </c>
      <c r="BH31" t="s">
        <v>37</v>
      </c>
      <c r="BI31">
        <v>5</v>
      </c>
      <c r="BJ31" t="s">
        <v>37</v>
      </c>
      <c r="BK31">
        <v>3</v>
      </c>
      <c r="BL31" t="s">
        <v>37</v>
      </c>
      <c r="BM31">
        <v>4</v>
      </c>
      <c r="BN31" t="s">
        <v>37</v>
      </c>
      <c r="BO31">
        <v>4</v>
      </c>
      <c r="BP31" t="s">
        <v>37</v>
      </c>
      <c r="BQ31">
        <v>3</v>
      </c>
      <c r="BR31" t="s">
        <v>37</v>
      </c>
      <c r="BS31">
        <v>5</v>
      </c>
      <c r="BU31">
        <f>AVERAGE(BI31:BS31,D31:BC31)</f>
        <v>4</v>
      </c>
    </row>
    <row r="32" spans="1:73" x14ac:dyDescent="0.35">
      <c r="A32" s="3">
        <v>31</v>
      </c>
      <c r="B32" s="3" t="s">
        <v>132</v>
      </c>
      <c r="C32" s="3" t="s">
        <v>37</v>
      </c>
      <c r="D32" t="s">
        <v>37</v>
      </c>
      <c r="E32">
        <v>5</v>
      </c>
      <c r="F32" s="1" t="s">
        <v>32</v>
      </c>
      <c r="G32" s="1">
        <v>3</v>
      </c>
      <c r="H32" t="s">
        <v>37</v>
      </c>
      <c r="I32">
        <v>2</v>
      </c>
      <c r="J32" t="s">
        <v>37</v>
      </c>
      <c r="K32">
        <v>5</v>
      </c>
      <c r="L32" t="s">
        <v>37</v>
      </c>
      <c r="M32">
        <v>5</v>
      </c>
      <c r="N32" t="s">
        <v>37</v>
      </c>
      <c r="O32">
        <v>3</v>
      </c>
      <c r="P32" t="s">
        <v>37</v>
      </c>
      <c r="Q32">
        <v>4</v>
      </c>
      <c r="R32" t="s">
        <v>37</v>
      </c>
      <c r="S32">
        <v>5</v>
      </c>
      <c r="T32" t="s">
        <v>37</v>
      </c>
      <c r="U32">
        <v>4</v>
      </c>
      <c r="V32" t="s">
        <v>37</v>
      </c>
      <c r="W32">
        <v>5</v>
      </c>
      <c r="X32" t="s">
        <v>37</v>
      </c>
      <c r="Y32">
        <v>4</v>
      </c>
      <c r="Z32" t="s">
        <v>37</v>
      </c>
      <c r="AA32">
        <v>3</v>
      </c>
      <c r="AB32" t="s">
        <v>37</v>
      </c>
      <c r="AC32">
        <v>5</v>
      </c>
      <c r="AD32" t="s">
        <v>37</v>
      </c>
      <c r="AE32">
        <v>4</v>
      </c>
      <c r="AF32" t="s">
        <v>37</v>
      </c>
      <c r="AG32">
        <v>4</v>
      </c>
      <c r="AH32" s="1" t="s">
        <v>36</v>
      </c>
      <c r="AI32" s="1">
        <v>3</v>
      </c>
      <c r="AJ32" t="s">
        <v>37</v>
      </c>
      <c r="AK32">
        <v>4</v>
      </c>
      <c r="AL32" t="s">
        <v>37</v>
      </c>
      <c r="AM32">
        <v>5</v>
      </c>
      <c r="AN32" t="s">
        <v>37</v>
      </c>
      <c r="AO32">
        <v>4</v>
      </c>
      <c r="AP32" t="s">
        <v>37</v>
      </c>
      <c r="AQ32">
        <v>5</v>
      </c>
      <c r="AR32" t="s">
        <v>37</v>
      </c>
      <c r="AS32">
        <v>3</v>
      </c>
      <c r="AT32" t="s">
        <v>37</v>
      </c>
      <c r="AU32">
        <v>5</v>
      </c>
      <c r="AV32" t="s">
        <v>37</v>
      </c>
      <c r="AW32">
        <v>2</v>
      </c>
      <c r="AX32" t="s">
        <v>37</v>
      </c>
      <c r="AY32">
        <v>5</v>
      </c>
      <c r="AZ32" t="s">
        <v>37</v>
      </c>
      <c r="BA32">
        <v>2</v>
      </c>
      <c r="BB32" t="s">
        <v>37</v>
      </c>
      <c r="BC32">
        <v>4</v>
      </c>
      <c r="BD32" t="s">
        <v>37</v>
      </c>
      <c r="BE32">
        <v>2</v>
      </c>
      <c r="BF32" t="s">
        <v>37</v>
      </c>
      <c r="BG32">
        <v>5</v>
      </c>
      <c r="BH32" t="s">
        <v>37</v>
      </c>
      <c r="BI32">
        <v>4</v>
      </c>
      <c r="BJ32" t="s">
        <v>37</v>
      </c>
      <c r="BK32">
        <v>3</v>
      </c>
      <c r="BL32" t="s">
        <v>37</v>
      </c>
      <c r="BM32">
        <v>2</v>
      </c>
      <c r="BN32" t="s">
        <v>37</v>
      </c>
      <c r="BO32">
        <v>3</v>
      </c>
      <c r="BP32" t="s">
        <v>37</v>
      </c>
      <c r="BQ32">
        <v>4</v>
      </c>
      <c r="BR32" t="s">
        <v>37</v>
      </c>
      <c r="BS32">
        <v>4</v>
      </c>
      <c r="BU32">
        <f>AVERAGE(AJ32:BS32,H32:AG32,E32)</f>
        <v>3.875</v>
      </c>
    </row>
    <row r="33" spans="1:73" x14ac:dyDescent="0.35">
      <c r="A33" s="3">
        <v>32</v>
      </c>
      <c r="B33" s="3" t="s">
        <v>133</v>
      </c>
      <c r="C33" s="3" t="s">
        <v>37</v>
      </c>
      <c r="D33" t="s">
        <v>37</v>
      </c>
      <c r="E33">
        <v>5</v>
      </c>
      <c r="F33" t="s">
        <v>37</v>
      </c>
      <c r="G33">
        <v>5</v>
      </c>
      <c r="H33" t="s">
        <v>37</v>
      </c>
      <c r="I33">
        <v>3</v>
      </c>
      <c r="J33" t="s">
        <v>37</v>
      </c>
      <c r="K33">
        <v>4</v>
      </c>
      <c r="L33" t="s">
        <v>37</v>
      </c>
      <c r="M33">
        <v>4</v>
      </c>
      <c r="N33" t="s">
        <v>37</v>
      </c>
      <c r="O33">
        <v>5</v>
      </c>
      <c r="P33" t="s">
        <v>37</v>
      </c>
      <c r="Q33">
        <v>4</v>
      </c>
      <c r="R33" t="s">
        <v>37</v>
      </c>
      <c r="S33">
        <v>4</v>
      </c>
      <c r="T33" t="s">
        <v>37</v>
      </c>
      <c r="U33">
        <v>4</v>
      </c>
      <c r="V33" s="1" t="s">
        <v>35</v>
      </c>
      <c r="W33" s="1">
        <v>4</v>
      </c>
      <c r="X33" t="s">
        <v>37</v>
      </c>
      <c r="Y33">
        <v>5</v>
      </c>
      <c r="Z33" t="s">
        <v>37</v>
      </c>
      <c r="AA33">
        <v>3</v>
      </c>
      <c r="AB33" t="s">
        <v>37</v>
      </c>
      <c r="AC33">
        <v>5</v>
      </c>
      <c r="AD33" t="s">
        <v>37</v>
      </c>
      <c r="AE33">
        <v>2</v>
      </c>
      <c r="AF33" t="s">
        <v>37</v>
      </c>
      <c r="AG33">
        <v>3</v>
      </c>
      <c r="AH33" t="s">
        <v>37</v>
      </c>
      <c r="AI33">
        <v>4</v>
      </c>
      <c r="AJ33" t="s">
        <v>37</v>
      </c>
      <c r="AK33">
        <v>4</v>
      </c>
      <c r="AL33" t="s">
        <v>37</v>
      </c>
      <c r="AM33">
        <v>5</v>
      </c>
      <c r="AN33" t="s">
        <v>37</v>
      </c>
      <c r="AO33">
        <v>4</v>
      </c>
      <c r="AP33" t="s">
        <v>37</v>
      </c>
      <c r="AQ33">
        <v>5</v>
      </c>
      <c r="AR33" t="s">
        <v>37</v>
      </c>
      <c r="AS33">
        <v>4</v>
      </c>
      <c r="AT33" t="s">
        <v>37</v>
      </c>
      <c r="AU33">
        <v>5</v>
      </c>
      <c r="AV33" t="s">
        <v>37</v>
      </c>
      <c r="AW33">
        <v>4</v>
      </c>
      <c r="AX33" t="s">
        <v>37</v>
      </c>
      <c r="AY33">
        <v>5</v>
      </c>
      <c r="AZ33" t="s">
        <v>37</v>
      </c>
      <c r="BA33">
        <v>3</v>
      </c>
      <c r="BB33" t="s">
        <v>37</v>
      </c>
      <c r="BC33">
        <v>5</v>
      </c>
      <c r="BD33" t="s">
        <v>37</v>
      </c>
      <c r="BE33">
        <v>4</v>
      </c>
      <c r="BF33" t="s">
        <v>37</v>
      </c>
      <c r="BG33">
        <v>5</v>
      </c>
      <c r="BH33" t="s">
        <v>37</v>
      </c>
      <c r="BI33">
        <v>4</v>
      </c>
      <c r="BJ33" t="s">
        <v>37</v>
      </c>
      <c r="BK33">
        <v>1</v>
      </c>
      <c r="BL33" t="s">
        <v>37</v>
      </c>
      <c r="BM33">
        <v>5</v>
      </c>
      <c r="BN33" t="s">
        <v>37</v>
      </c>
      <c r="BO33">
        <v>5</v>
      </c>
      <c r="BP33" t="s">
        <v>37</v>
      </c>
      <c r="BQ33">
        <v>5</v>
      </c>
      <c r="BR33" t="s">
        <v>37</v>
      </c>
      <c r="BS33">
        <v>5</v>
      </c>
      <c r="BU33">
        <f>AVERAGE(X33:BS33,E33:U33)</f>
        <v>4.1818181818181817</v>
      </c>
    </row>
    <row r="34" spans="1:73" x14ac:dyDescent="0.35">
      <c r="A34" s="3">
        <v>33</v>
      </c>
      <c r="B34" s="3" t="s">
        <v>134</v>
      </c>
      <c r="C34" s="3" t="s">
        <v>37</v>
      </c>
      <c r="D34" t="s">
        <v>37</v>
      </c>
      <c r="E34">
        <v>5</v>
      </c>
      <c r="F34" t="s">
        <v>37</v>
      </c>
      <c r="G34">
        <v>5</v>
      </c>
      <c r="H34" t="s">
        <v>37</v>
      </c>
      <c r="I34">
        <v>2</v>
      </c>
      <c r="J34" t="s">
        <v>37</v>
      </c>
      <c r="K34">
        <v>5</v>
      </c>
      <c r="L34" t="s">
        <v>37</v>
      </c>
      <c r="M34">
        <v>5</v>
      </c>
      <c r="N34" t="s">
        <v>37</v>
      </c>
      <c r="O34">
        <v>5</v>
      </c>
      <c r="P34" t="s">
        <v>37</v>
      </c>
      <c r="Q34">
        <v>5</v>
      </c>
      <c r="R34" t="s">
        <v>37</v>
      </c>
      <c r="S34">
        <v>5</v>
      </c>
      <c r="T34" t="s">
        <v>37</v>
      </c>
      <c r="U34">
        <v>4</v>
      </c>
      <c r="V34" t="s">
        <v>37</v>
      </c>
      <c r="W34">
        <v>5</v>
      </c>
      <c r="X34" t="s">
        <v>37</v>
      </c>
      <c r="Y34">
        <v>5</v>
      </c>
      <c r="Z34" t="s">
        <v>37</v>
      </c>
      <c r="AA34">
        <v>5</v>
      </c>
      <c r="AB34" t="s">
        <v>37</v>
      </c>
      <c r="AC34">
        <v>5</v>
      </c>
      <c r="AD34" t="s">
        <v>37</v>
      </c>
      <c r="AE34">
        <v>5</v>
      </c>
      <c r="AF34" t="s">
        <v>37</v>
      </c>
      <c r="AG34">
        <v>5</v>
      </c>
      <c r="AH34" t="s">
        <v>37</v>
      </c>
      <c r="AI34">
        <v>5</v>
      </c>
      <c r="AJ34" t="s">
        <v>37</v>
      </c>
      <c r="AK34">
        <v>5</v>
      </c>
      <c r="AL34" t="s">
        <v>37</v>
      </c>
      <c r="AM34">
        <v>5</v>
      </c>
      <c r="AN34" t="s">
        <v>37</v>
      </c>
      <c r="AO34">
        <v>4</v>
      </c>
      <c r="AP34" t="s">
        <v>37</v>
      </c>
      <c r="AQ34">
        <v>5</v>
      </c>
      <c r="AR34" t="s">
        <v>37</v>
      </c>
      <c r="AS34">
        <v>3</v>
      </c>
      <c r="AT34" t="s">
        <v>37</v>
      </c>
      <c r="AU34">
        <v>5</v>
      </c>
      <c r="AV34" t="s">
        <v>37</v>
      </c>
      <c r="AW34">
        <v>5</v>
      </c>
      <c r="AX34" t="s">
        <v>37</v>
      </c>
      <c r="AY34">
        <v>5</v>
      </c>
      <c r="AZ34" t="s">
        <v>37</v>
      </c>
      <c r="BA34">
        <v>4</v>
      </c>
      <c r="BB34" t="s">
        <v>37</v>
      </c>
      <c r="BC34">
        <v>5</v>
      </c>
      <c r="BD34" t="s">
        <v>37</v>
      </c>
      <c r="BE34">
        <v>5</v>
      </c>
      <c r="BF34" t="s">
        <v>37</v>
      </c>
      <c r="BG34">
        <v>5</v>
      </c>
      <c r="BH34" t="s">
        <v>37</v>
      </c>
      <c r="BI34">
        <v>4</v>
      </c>
      <c r="BJ34" t="s">
        <v>37</v>
      </c>
      <c r="BK34">
        <v>5</v>
      </c>
      <c r="BL34" t="s">
        <v>37</v>
      </c>
      <c r="BM34">
        <v>5</v>
      </c>
      <c r="BN34" t="s">
        <v>37</v>
      </c>
      <c r="BO34">
        <v>5</v>
      </c>
      <c r="BP34" t="s">
        <v>37</v>
      </c>
      <c r="BQ34">
        <v>4</v>
      </c>
      <c r="BR34" t="s">
        <v>37</v>
      </c>
      <c r="BS34">
        <v>5</v>
      </c>
      <c r="BU34">
        <f>AVERAGE(E34:BS34)</f>
        <v>4.7058823529411766</v>
      </c>
    </row>
    <row r="35" spans="1:73" x14ac:dyDescent="0.35">
      <c r="A35" s="3">
        <v>34</v>
      </c>
      <c r="B35" s="3" t="s">
        <v>135</v>
      </c>
      <c r="C35" s="3" t="s">
        <v>37</v>
      </c>
      <c r="D35" t="s">
        <v>37</v>
      </c>
      <c r="E35">
        <v>2</v>
      </c>
      <c r="F35" t="s">
        <v>37</v>
      </c>
      <c r="G35">
        <v>5</v>
      </c>
      <c r="H35" s="1" t="s">
        <v>35</v>
      </c>
      <c r="I35" s="1">
        <v>1</v>
      </c>
      <c r="J35" t="s">
        <v>37</v>
      </c>
      <c r="K35">
        <v>4</v>
      </c>
      <c r="L35" t="s">
        <v>37</v>
      </c>
      <c r="M35">
        <v>1</v>
      </c>
      <c r="N35" t="s">
        <v>37</v>
      </c>
      <c r="O35">
        <v>4</v>
      </c>
      <c r="P35" t="s">
        <v>37</v>
      </c>
      <c r="Q35">
        <v>3</v>
      </c>
      <c r="R35" s="1" t="s">
        <v>35</v>
      </c>
      <c r="S35" s="1">
        <v>4</v>
      </c>
      <c r="T35" t="s">
        <v>37</v>
      </c>
      <c r="U35">
        <v>3</v>
      </c>
      <c r="V35" t="s">
        <v>37</v>
      </c>
      <c r="W35">
        <v>5</v>
      </c>
      <c r="X35" t="s">
        <v>37</v>
      </c>
      <c r="Y35">
        <v>3</v>
      </c>
      <c r="Z35" t="s">
        <v>37</v>
      </c>
      <c r="AA35">
        <v>2</v>
      </c>
      <c r="AB35" t="s">
        <v>37</v>
      </c>
      <c r="AC35">
        <v>4</v>
      </c>
      <c r="AD35" t="s">
        <v>37</v>
      </c>
      <c r="AE35">
        <v>1</v>
      </c>
      <c r="AF35" s="1" t="s">
        <v>35</v>
      </c>
      <c r="AG35" s="1">
        <v>2</v>
      </c>
      <c r="AH35" t="s">
        <v>37</v>
      </c>
      <c r="AI35">
        <v>5</v>
      </c>
      <c r="AJ35" t="s">
        <v>37</v>
      </c>
      <c r="AK35">
        <v>2</v>
      </c>
      <c r="AL35" s="1" t="s">
        <v>35</v>
      </c>
      <c r="AM35" s="1">
        <v>1</v>
      </c>
      <c r="AN35" t="s">
        <v>37</v>
      </c>
      <c r="AO35">
        <v>3</v>
      </c>
      <c r="AP35" t="s">
        <v>37</v>
      </c>
      <c r="AQ35">
        <v>1</v>
      </c>
      <c r="AR35" s="1" t="s">
        <v>35</v>
      </c>
      <c r="AS35" s="1">
        <v>2</v>
      </c>
      <c r="AT35" s="1" t="s">
        <v>32</v>
      </c>
      <c r="AU35" s="1">
        <v>5</v>
      </c>
      <c r="AV35" t="s">
        <v>37</v>
      </c>
      <c r="AW35">
        <v>1</v>
      </c>
      <c r="AX35" t="s">
        <v>37</v>
      </c>
      <c r="AY35">
        <v>4</v>
      </c>
      <c r="AZ35" s="1" t="s">
        <v>35</v>
      </c>
      <c r="BA35" s="1">
        <v>2</v>
      </c>
      <c r="BB35" t="s">
        <v>37</v>
      </c>
      <c r="BC35">
        <v>3</v>
      </c>
      <c r="BD35" t="s">
        <v>37</v>
      </c>
      <c r="BE35">
        <v>1</v>
      </c>
      <c r="BF35" s="1" t="s">
        <v>35</v>
      </c>
      <c r="BG35" s="1">
        <v>4</v>
      </c>
      <c r="BH35" t="s">
        <v>37</v>
      </c>
      <c r="BI35">
        <v>3</v>
      </c>
      <c r="BJ35" t="s">
        <v>37</v>
      </c>
      <c r="BK35">
        <v>2</v>
      </c>
      <c r="BL35" t="s">
        <v>37</v>
      </c>
      <c r="BM35">
        <v>2</v>
      </c>
      <c r="BN35" t="s">
        <v>37</v>
      </c>
      <c r="BO35">
        <v>4</v>
      </c>
      <c r="BP35" t="s">
        <v>37</v>
      </c>
      <c r="BQ35">
        <v>4</v>
      </c>
      <c r="BR35" t="s">
        <v>37</v>
      </c>
      <c r="BS35">
        <v>4</v>
      </c>
      <c r="BU35">
        <f>AVERAGE(BI35:BS35,BB35:BE35,AV35:AY35,AN35:AQ35,AH35:AK35,T35:AE35,K35:Q35,E35:G35)</f>
        <v>2.9230769230769229</v>
      </c>
    </row>
    <row r="36" spans="1:73" x14ac:dyDescent="0.35">
      <c r="A36" s="3">
        <v>35</v>
      </c>
      <c r="B36" s="3" t="s">
        <v>136</v>
      </c>
      <c r="C36" s="3" t="s">
        <v>37</v>
      </c>
      <c r="D36" t="s">
        <v>37</v>
      </c>
      <c r="E36">
        <v>2</v>
      </c>
      <c r="F36" s="1" t="s">
        <v>35</v>
      </c>
      <c r="G36" s="1">
        <v>3</v>
      </c>
      <c r="H36" s="1" t="s">
        <v>35</v>
      </c>
      <c r="I36" s="1">
        <v>2</v>
      </c>
      <c r="J36" t="s">
        <v>37</v>
      </c>
      <c r="K36">
        <v>5</v>
      </c>
      <c r="L36" t="s">
        <v>37</v>
      </c>
      <c r="M36">
        <v>2</v>
      </c>
      <c r="N36" t="s">
        <v>37</v>
      </c>
      <c r="O36">
        <v>5</v>
      </c>
      <c r="P36" t="s">
        <v>37</v>
      </c>
      <c r="Q36">
        <v>3</v>
      </c>
      <c r="R36" t="s">
        <v>37</v>
      </c>
      <c r="S36">
        <v>3</v>
      </c>
      <c r="T36" t="s">
        <v>37</v>
      </c>
      <c r="U36">
        <v>3</v>
      </c>
      <c r="V36" t="s">
        <v>37</v>
      </c>
      <c r="W36">
        <v>5</v>
      </c>
      <c r="X36" t="s">
        <v>37</v>
      </c>
      <c r="Y36">
        <v>3</v>
      </c>
      <c r="Z36" t="s">
        <v>37</v>
      </c>
      <c r="AA36">
        <v>1</v>
      </c>
      <c r="AB36" t="s">
        <v>37</v>
      </c>
      <c r="AC36">
        <v>5</v>
      </c>
      <c r="AD36" t="s">
        <v>37</v>
      </c>
      <c r="AE36">
        <v>1</v>
      </c>
      <c r="AF36" s="1" t="s">
        <v>32</v>
      </c>
      <c r="AG36" s="1">
        <v>3</v>
      </c>
      <c r="AH36" t="s">
        <v>37</v>
      </c>
      <c r="AI36">
        <v>5</v>
      </c>
      <c r="AJ36" t="s">
        <v>37</v>
      </c>
      <c r="AK36">
        <v>4</v>
      </c>
      <c r="AL36" s="1" t="s">
        <v>35</v>
      </c>
      <c r="AM36" s="1">
        <v>1</v>
      </c>
      <c r="AN36" t="s">
        <v>37</v>
      </c>
      <c r="AO36">
        <v>3</v>
      </c>
      <c r="AP36" s="1" t="s">
        <v>35</v>
      </c>
      <c r="AQ36" s="1">
        <v>2</v>
      </c>
      <c r="AR36" t="s">
        <v>37</v>
      </c>
      <c r="AS36">
        <v>1</v>
      </c>
      <c r="AT36" t="s">
        <v>37</v>
      </c>
      <c r="AU36">
        <v>4</v>
      </c>
      <c r="AV36" t="s">
        <v>37</v>
      </c>
      <c r="AW36">
        <v>3</v>
      </c>
      <c r="AX36" t="s">
        <v>37</v>
      </c>
      <c r="AY36">
        <v>3</v>
      </c>
      <c r="AZ36" t="s">
        <v>37</v>
      </c>
      <c r="BA36">
        <v>3</v>
      </c>
      <c r="BB36" s="1" t="s">
        <v>36</v>
      </c>
      <c r="BC36" s="1">
        <v>3</v>
      </c>
      <c r="BD36" t="s">
        <v>37</v>
      </c>
      <c r="BE36">
        <v>1</v>
      </c>
      <c r="BF36" s="1" t="s">
        <v>35</v>
      </c>
      <c r="BG36" s="1">
        <v>3</v>
      </c>
      <c r="BH36" t="s">
        <v>37</v>
      </c>
      <c r="BI36">
        <v>5</v>
      </c>
      <c r="BJ36" t="s">
        <v>37</v>
      </c>
      <c r="BK36">
        <v>2</v>
      </c>
      <c r="BL36" s="1" t="s">
        <v>35</v>
      </c>
      <c r="BM36" s="1">
        <v>2</v>
      </c>
      <c r="BN36" s="1" t="s">
        <v>35</v>
      </c>
      <c r="BO36" s="1">
        <v>1</v>
      </c>
      <c r="BP36" t="s">
        <v>37</v>
      </c>
      <c r="BQ36">
        <v>2</v>
      </c>
      <c r="BR36" t="s">
        <v>37</v>
      </c>
      <c r="BS36">
        <v>4</v>
      </c>
      <c r="BU36">
        <f>AVERAGE(BQ36:BS36,BI36:BK36,BE36,AR36:BA36,AO36,AH36:AK36,J36:AE36,E36)</f>
        <v>3.12</v>
      </c>
    </row>
    <row r="37" spans="1:73" x14ac:dyDescent="0.35">
      <c r="A37" s="3">
        <v>36</v>
      </c>
      <c r="B37" s="3" t="s">
        <v>137</v>
      </c>
      <c r="C37" s="3" t="s">
        <v>37</v>
      </c>
      <c r="D37" t="s">
        <v>37</v>
      </c>
      <c r="E37">
        <v>4</v>
      </c>
      <c r="F37" t="s">
        <v>37</v>
      </c>
      <c r="G37">
        <v>5</v>
      </c>
      <c r="H37" t="s">
        <v>37</v>
      </c>
      <c r="I37">
        <v>3</v>
      </c>
      <c r="J37" t="s">
        <v>37</v>
      </c>
      <c r="K37">
        <v>5</v>
      </c>
      <c r="L37" s="1" t="s">
        <v>35</v>
      </c>
      <c r="M37" s="1">
        <v>4</v>
      </c>
      <c r="N37" t="s">
        <v>37</v>
      </c>
      <c r="O37">
        <v>4</v>
      </c>
      <c r="P37" t="s">
        <v>37</v>
      </c>
      <c r="Q37">
        <v>4</v>
      </c>
      <c r="R37" s="1" t="s">
        <v>35</v>
      </c>
      <c r="S37" s="1">
        <v>4</v>
      </c>
      <c r="T37" t="s">
        <v>37</v>
      </c>
      <c r="U37">
        <v>4</v>
      </c>
      <c r="V37" t="s">
        <v>37</v>
      </c>
      <c r="W37">
        <v>5</v>
      </c>
      <c r="X37" t="s">
        <v>37</v>
      </c>
      <c r="Y37">
        <v>4</v>
      </c>
      <c r="Z37" t="s">
        <v>37</v>
      </c>
      <c r="AA37">
        <v>3</v>
      </c>
      <c r="AB37" t="s">
        <v>37</v>
      </c>
      <c r="AC37">
        <v>5</v>
      </c>
      <c r="AD37" t="s">
        <v>37</v>
      </c>
      <c r="AE37">
        <v>1</v>
      </c>
      <c r="AF37" t="s">
        <v>37</v>
      </c>
      <c r="AG37">
        <v>5</v>
      </c>
      <c r="AH37" t="s">
        <v>37</v>
      </c>
      <c r="AI37">
        <v>5</v>
      </c>
      <c r="AJ37" t="s">
        <v>37</v>
      </c>
      <c r="AK37">
        <v>4</v>
      </c>
      <c r="AL37" t="s">
        <v>37</v>
      </c>
      <c r="AM37">
        <v>5</v>
      </c>
      <c r="AN37" t="s">
        <v>37</v>
      </c>
      <c r="AO37">
        <v>4</v>
      </c>
      <c r="AP37" t="s">
        <v>37</v>
      </c>
      <c r="AQ37">
        <v>5</v>
      </c>
      <c r="AR37" t="s">
        <v>37</v>
      </c>
      <c r="AS37">
        <v>4</v>
      </c>
      <c r="AT37" t="s">
        <v>37</v>
      </c>
      <c r="AU37">
        <v>5</v>
      </c>
      <c r="AV37" t="s">
        <v>37</v>
      </c>
      <c r="AW37">
        <v>4</v>
      </c>
      <c r="AX37" t="s">
        <v>37</v>
      </c>
      <c r="AY37">
        <v>5</v>
      </c>
      <c r="AZ37" t="s">
        <v>37</v>
      </c>
      <c r="BA37">
        <v>3</v>
      </c>
      <c r="BB37" t="s">
        <v>37</v>
      </c>
      <c r="BC37">
        <v>3</v>
      </c>
      <c r="BD37" s="1" t="s">
        <v>35</v>
      </c>
      <c r="BE37" s="1">
        <v>2</v>
      </c>
      <c r="BF37" t="s">
        <v>37</v>
      </c>
      <c r="BG37">
        <v>3</v>
      </c>
      <c r="BH37" t="s">
        <v>37</v>
      </c>
      <c r="BI37">
        <v>5</v>
      </c>
      <c r="BJ37" t="s">
        <v>37</v>
      </c>
      <c r="BK37">
        <v>3</v>
      </c>
      <c r="BL37" t="s">
        <v>37</v>
      </c>
      <c r="BM37">
        <v>5</v>
      </c>
      <c r="BN37" t="s">
        <v>37</v>
      </c>
      <c r="BO37">
        <v>5</v>
      </c>
      <c r="BP37" t="s">
        <v>37</v>
      </c>
      <c r="BQ37">
        <v>5</v>
      </c>
      <c r="BR37" t="s">
        <v>37</v>
      </c>
      <c r="BS37">
        <v>5</v>
      </c>
      <c r="BU37">
        <f>AVERAGE(BF37:BS37,T37:BC37,N37:Q37,E37:K37)</f>
        <v>4.193548387096774</v>
      </c>
    </row>
    <row r="38" spans="1:73" x14ac:dyDescent="0.35">
      <c r="A38" s="3">
        <v>37</v>
      </c>
      <c r="B38" s="3" t="s">
        <v>138</v>
      </c>
      <c r="C38" s="3" t="s">
        <v>35</v>
      </c>
      <c r="D38" t="s">
        <v>35</v>
      </c>
      <c r="E38">
        <v>5</v>
      </c>
      <c r="F38" s="1" t="s">
        <v>32</v>
      </c>
      <c r="G38" s="1">
        <v>4</v>
      </c>
      <c r="H38" t="s">
        <v>35</v>
      </c>
      <c r="I38">
        <v>5</v>
      </c>
      <c r="J38" t="s">
        <v>35</v>
      </c>
      <c r="K38">
        <v>5</v>
      </c>
      <c r="L38" t="s">
        <v>35</v>
      </c>
      <c r="M38">
        <v>3</v>
      </c>
      <c r="N38" t="s">
        <v>35</v>
      </c>
      <c r="O38">
        <v>5</v>
      </c>
      <c r="P38" t="s">
        <v>35</v>
      </c>
      <c r="Q38">
        <v>5</v>
      </c>
      <c r="R38" t="s">
        <v>35</v>
      </c>
      <c r="S38">
        <v>4</v>
      </c>
      <c r="T38" t="s">
        <v>35</v>
      </c>
      <c r="U38">
        <v>4</v>
      </c>
      <c r="V38" s="1" t="s">
        <v>36</v>
      </c>
      <c r="W38" s="1">
        <v>4</v>
      </c>
      <c r="X38" s="1" t="s">
        <v>36</v>
      </c>
      <c r="Y38" s="1">
        <v>5</v>
      </c>
      <c r="Z38" t="s">
        <v>35</v>
      </c>
      <c r="AA38">
        <v>5</v>
      </c>
      <c r="AB38" t="s">
        <v>35</v>
      </c>
      <c r="AC38">
        <v>5</v>
      </c>
      <c r="AD38" t="s">
        <v>35</v>
      </c>
      <c r="AE38">
        <v>4</v>
      </c>
      <c r="AF38" t="s">
        <v>35</v>
      </c>
      <c r="AG38">
        <v>3</v>
      </c>
      <c r="AH38" t="s">
        <v>35</v>
      </c>
      <c r="AI38">
        <v>5</v>
      </c>
      <c r="AJ38" t="s">
        <v>35</v>
      </c>
      <c r="AK38">
        <v>5</v>
      </c>
      <c r="AL38" t="s">
        <v>35</v>
      </c>
      <c r="AM38">
        <v>5</v>
      </c>
      <c r="AN38" t="s">
        <v>35</v>
      </c>
      <c r="AO38">
        <v>5</v>
      </c>
      <c r="AP38" t="s">
        <v>35</v>
      </c>
      <c r="AQ38">
        <v>3</v>
      </c>
      <c r="AR38" t="s">
        <v>35</v>
      </c>
      <c r="AS38">
        <v>1</v>
      </c>
      <c r="AT38" t="s">
        <v>35</v>
      </c>
      <c r="AU38">
        <v>5</v>
      </c>
      <c r="AV38" t="s">
        <v>35</v>
      </c>
      <c r="AW38">
        <v>5</v>
      </c>
      <c r="AX38" t="s">
        <v>35</v>
      </c>
      <c r="AY38">
        <v>5</v>
      </c>
      <c r="AZ38" t="s">
        <v>35</v>
      </c>
      <c r="BA38">
        <v>3</v>
      </c>
      <c r="BB38" t="s">
        <v>35</v>
      </c>
      <c r="BC38">
        <v>4</v>
      </c>
      <c r="BD38" t="s">
        <v>35</v>
      </c>
      <c r="BE38">
        <v>5</v>
      </c>
      <c r="BF38" t="s">
        <v>35</v>
      </c>
      <c r="BG38">
        <v>5</v>
      </c>
      <c r="BH38" t="s">
        <v>35</v>
      </c>
      <c r="BI38">
        <v>5</v>
      </c>
      <c r="BJ38" t="s">
        <v>35</v>
      </c>
      <c r="BK38">
        <v>4</v>
      </c>
      <c r="BL38" t="s">
        <v>35</v>
      </c>
      <c r="BM38">
        <v>4</v>
      </c>
      <c r="BN38" t="s">
        <v>35</v>
      </c>
      <c r="BO38">
        <v>4</v>
      </c>
      <c r="BP38" t="s">
        <v>35</v>
      </c>
      <c r="BQ38">
        <v>4</v>
      </c>
      <c r="BR38" t="s">
        <v>35</v>
      </c>
      <c r="BS38">
        <v>3</v>
      </c>
      <c r="BU38">
        <f>AVERAGE(Z38:BS38,H38:U38,E38)</f>
        <v>4.290322580645161</v>
      </c>
    </row>
    <row r="39" spans="1:73" x14ac:dyDescent="0.35">
      <c r="A39" s="3">
        <v>38</v>
      </c>
      <c r="B39" s="3" t="s">
        <v>139</v>
      </c>
      <c r="C39" s="3" t="s">
        <v>35</v>
      </c>
      <c r="D39" t="s">
        <v>31</v>
      </c>
      <c r="E39">
        <v>4</v>
      </c>
      <c r="F39" t="s">
        <v>32</v>
      </c>
      <c r="G39">
        <v>5</v>
      </c>
      <c r="H39" t="s">
        <v>32</v>
      </c>
      <c r="I39">
        <v>5</v>
      </c>
      <c r="J39" t="s">
        <v>33</v>
      </c>
      <c r="K39">
        <v>4</v>
      </c>
      <c r="L39" s="1" t="s">
        <v>35</v>
      </c>
      <c r="M39" s="1">
        <v>3</v>
      </c>
      <c r="N39" t="s">
        <v>32</v>
      </c>
      <c r="O39">
        <v>4</v>
      </c>
      <c r="P39" s="1" t="s">
        <v>35</v>
      </c>
      <c r="Q39" s="1">
        <v>4</v>
      </c>
      <c r="R39" t="s">
        <v>32</v>
      </c>
      <c r="S39">
        <v>4</v>
      </c>
      <c r="T39" s="1" t="s">
        <v>35</v>
      </c>
      <c r="U39" s="1">
        <v>3</v>
      </c>
      <c r="V39" s="1" t="s">
        <v>35</v>
      </c>
      <c r="W39" s="1">
        <v>3</v>
      </c>
      <c r="X39" t="s">
        <v>34</v>
      </c>
      <c r="Y39">
        <v>4</v>
      </c>
      <c r="Z39" t="s">
        <v>32</v>
      </c>
      <c r="AA39">
        <v>5</v>
      </c>
      <c r="AB39" t="s">
        <v>32</v>
      </c>
      <c r="AC39">
        <v>4</v>
      </c>
      <c r="AD39" t="s">
        <v>32</v>
      </c>
      <c r="AE39">
        <v>4</v>
      </c>
      <c r="AF39" t="s">
        <v>32</v>
      </c>
      <c r="AG39">
        <v>3</v>
      </c>
      <c r="AH39" t="s">
        <v>32</v>
      </c>
      <c r="AI39">
        <v>5</v>
      </c>
      <c r="AJ39" t="s">
        <v>32</v>
      </c>
      <c r="AK39">
        <v>5</v>
      </c>
      <c r="AL39" t="s">
        <v>32</v>
      </c>
      <c r="AM39">
        <v>5</v>
      </c>
      <c r="AN39" t="s">
        <v>32</v>
      </c>
      <c r="AO39">
        <v>5</v>
      </c>
      <c r="AP39" t="s">
        <v>32</v>
      </c>
      <c r="AQ39">
        <v>4</v>
      </c>
      <c r="AR39" t="s">
        <v>32</v>
      </c>
      <c r="AS39">
        <v>2</v>
      </c>
      <c r="AT39" t="s">
        <v>32</v>
      </c>
      <c r="AU39">
        <v>5</v>
      </c>
      <c r="AV39" t="s">
        <v>32</v>
      </c>
      <c r="AW39">
        <v>3</v>
      </c>
      <c r="AX39" s="1" t="s">
        <v>35</v>
      </c>
      <c r="AY39" s="1">
        <v>5</v>
      </c>
      <c r="AZ39" t="s">
        <v>32</v>
      </c>
      <c r="BA39">
        <v>5</v>
      </c>
      <c r="BB39" t="s">
        <v>32</v>
      </c>
      <c r="BC39">
        <v>5</v>
      </c>
      <c r="BD39" t="s">
        <v>32</v>
      </c>
      <c r="BE39">
        <v>5</v>
      </c>
      <c r="BF39" s="1" t="s">
        <v>35</v>
      </c>
      <c r="BG39" s="1">
        <v>3</v>
      </c>
      <c r="BH39" t="s">
        <v>33</v>
      </c>
      <c r="BI39">
        <v>5</v>
      </c>
      <c r="BJ39" t="s">
        <v>32</v>
      </c>
      <c r="BK39">
        <v>5</v>
      </c>
      <c r="BL39" s="1" t="s">
        <v>35</v>
      </c>
      <c r="BM39" s="1">
        <v>1</v>
      </c>
      <c r="BN39" t="s">
        <v>32</v>
      </c>
      <c r="BO39">
        <v>4</v>
      </c>
      <c r="BP39" s="1" t="s">
        <v>35</v>
      </c>
      <c r="BQ39" s="1">
        <v>3</v>
      </c>
      <c r="BR39" t="s">
        <v>32</v>
      </c>
      <c r="BS39">
        <v>5</v>
      </c>
      <c r="BU39">
        <f>AVERAGE(BS39,BO39,BI39:BK39,AZ39:BE39,X39:AW39,S39,O39,I39:K39,G39,E39)</f>
        <v>4.384615384615385</v>
      </c>
    </row>
    <row r="40" spans="1:73" x14ac:dyDescent="0.35">
      <c r="A40" s="3">
        <v>39</v>
      </c>
      <c r="B40" s="3" t="s">
        <v>140</v>
      </c>
      <c r="C40" s="3" t="s">
        <v>35</v>
      </c>
      <c r="D40" t="s">
        <v>36</v>
      </c>
      <c r="E40">
        <v>5</v>
      </c>
      <c r="F40" t="s">
        <v>36</v>
      </c>
      <c r="G40">
        <v>4</v>
      </c>
      <c r="H40" t="s">
        <v>36</v>
      </c>
      <c r="I40">
        <v>4</v>
      </c>
      <c r="J40" t="s">
        <v>36</v>
      </c>
      <c r="K40">
        <v>5</v>
      </c>
      <c r="L40" t="s">
        <v>36</v>
      </c>
      <c r="M40">
        <v>3</v>
      </c>
      <c r="N40" t="s">
        <v>36</v>
      </c>
      <c r="O40">
        <v>5</v>
      </c>
      <c r="P40" t="s">
        <v>36</v>
      </c>
      <c r="Q40">
        <v>5</v>
      </c>
      <c r="R40" t="s">
        <v>36</v>
      </c>
      <c r="S40">
        <v>4</v>
      </c>
      <c r="T40" t="s">
        <v>36</v>
      </c>
      <c r="U40">
        <v>4</v>
      </c>
      <c r="V40" t="s">
        <v>36</v>
      </c>
      <c r="W40">
        <v>3</v>
      </c>
      <c r="X40" t="s">
        <v>36</v>
      </c>
      <c r="Y40">
        <v>4</v>
      </c>
      <c r="Z40" t="s">
        <v>36</v>
      </c>
      <c r="AA40">
        <v>4</v>
      </c>
      <c r="AB40" t="s">
        <v>36</v>
      </c>
      <c r="AC40">
        <v>4</v>
      </c>
      <c r="AD40" t="s">
        <v>36</v>
      </c>
      <c r="AE40">
        <v>4</v>
      </c>
      <c r="AF40" t="s">
        <v>36</v>
      </c>
      <c r="AG40">
        <v>5</v>
      </c>
      <c r="AH40" t="s">
        <v>36</v>
      </c>
      <c r="AI40">
        <v>5</v>
      </c>
      <c r="AJ40" t="s">
        <v>36</v>
      </c>
      <c r="AK40">
        <v>5</v>
      </c>
      <c r="AL40" t="s">
        <v>36</v>
      </c>
      <c r="AM40">
        <v>5</v>
      </c>
      <c r="AN40" t="s">
        <v>36</v>
      </c>
      <c r="AO40">
        <v>5</v>
      </c>
      <c r="AP40" t="s">
        <v>36</v>
      </c>
      <c r="AQ40">
        <v>2</v>
      </c>
      <c r="AR40" t="s">
        <v>36</v>
      </c>
      <c r="AS40">
        <v>3</v>
      </c>
      <c r="AT40" t="s">
        <v>36</v>
      </c>
      <c r="AU40">
        <v>5</v>
      </c>
      <c r="AV40" s="1" t="s">
        <v>32</v>
      </c>
      <c r="AW40" s="1">
        <v>3</v>
      </c>
      <c r="AX40" t="s">
        <v>36</v>
      </c>
      <c r="AY40">
        <v>4</v>
      </c>
      <c r="AZ40" t="s">
        <v>36</v>
      </c>
      <c r="BA40">
        <v>4</v>
      </c>
      <c r="BB40" t="s">
        <v>36</v>
      </c>
      <c r="BC40">
        <v>5</v>
      </c>
      <c r="BD40" t="s">
        <v>36</v>
      </c>
      <c r="BE40">
        <v>3</v>
      </c>
      <c r="BF40" s="1" t="s">
        <v>37</v>
      </c>
      <c r="BG40" s="1">
        <v>3</v>
      </c>
      <c r="BH40" t="s">
        <v>36</v>
      </c>
      <c r="BI40">
        <v>3</v>
      </c>
      <c r="BJ40" t="s">
        <v>36</v>
      </c>
      <c r="BK40">
        <v>4</v>
      </c>
      <c r="BL40" t="s">
        <v>36</v>
      </c>
      <c r="BM40">
        <v>5</v>
      </c>
      <c r="BN40" t="s">
        <v>36</v>
      </c>
      <c r="BO40">
        <v>4</v>
      </c>
      <c r="BP40" t="s">
        <v>36</v>
      </c>
      <c r="BQ40">
        <v>2</v>
      </c>
      <c r="BR40" t="s">
        <v>36</v>
      </c>
      <c r="BS40">
        <v>5</v>
      </c>
      <c r="BU40">
        <f>AVERAGE(BI40:BS40,AX40:BE40,E40:AU40)</f>
        <v>4.125</v>
      </c>
    </row>
    <row r="41" spans="1:73" x14ac:dyDescent="0.35">
      <c r="A41" s="3">
        <v>40</v>
      </c>
      <c r="B41" s="3" t="s">
        <v>141</v>
      </c>
      <c r="C41" s="3" t="s">
        <v>35</v>
      </c>
      <c r="D41" s="1" t="s">
        <v>37</v>
      </c>
      <c r="E41">
        <v>5</v>
      </c>
      <c r="F41" t="s">
        <v>37</v>
      </c>
      <c r="G41">
        <v>5</v>
      </c>
      <c r="H41" t="s">
        <v>37</v>
      </c>
      <c r="I41">
        <v>4</v>
      </c>
      <c r="J41" t="s">
        <v>37</v>
      </c>
      <c r="K41">
        <v>5</v>
      </c>
      <c r="L41" t="s">
        <v>37</v>
      </c>
      <c r="M41">
        <v>4</v>
      </c>
      <c r="N41" t="s">
        <v>37</v>
      </c>
      <c r="O41">
        <v>4</v>
      </c>
      <c r="P41" t="s">
        <v>37</v>
      </c>
      <c r="Q41">
        <v>5</v>
      </c>
      <c r="R41" t="s">
        <v>37</v>
      </c>
      <c r="S41">
        <v>5</v>
      </c>
      <c r="T41" t="s">
        <v>37</v>
      </c>
      <c r="U41">
        <v>4</v>
      </c>
      <c r="V41" t="s">
        <v>37</v>
      </c>
      <c r="W41">
        <v>5</v>
      </c>
      <c r="X41" t="s">
        <v>37</v>
      </c>
      <c r="Y41">
        <v>5</v>
      </c>
      <c r="Z41" t="s">
        <v>37</v>
      </c>
      <c r="AA41">
        <v>5</v>
      </c>
      <c r="AB41" t="s">
        <v>37</v>
      </c>
      <c r="AC41">
        <v>5</v>
      </c>
      <c r="AD41" t="s">
        <v>37</v>
      </c>
      <c r="AE41">
        <v>5</v>
      </c>
      <c r="AF41" t="s">
        <v>37</v>
      </c>
      <c r="AG41">
        <v>4</v>
      </c>
      <c r="AH41" t="s">
        <v>37</v>
      </c>
      <c r="AI41">
        <v>5</v>
      </c>
      <c r="AJ41" t="s">
        <v>37</v>
      </c>
      <c r="AK41">
        <v>5</v>
      </c>
      <c r="AL41" t="s">
        <v>37</v>
      </c>
      <c r="AM41">
        <v>5</v>
      </c>
      <c r="AN41" t="s">
        <v>37</v>
      </c>
      <c r="AO41">
        <v>5</v>
      </c>
      <c r="AP41" t="s">
        <v>37</v>
      </c>
      <c r="AQ41">
        <v>5</v>
      </c>
      <c r="AR41" t="s">
        <v>37</v>
      </c>
      <c r="AS41">
        <v>2</v>
      </c>
      <c r="AT41" t="s">
        <v>37</v>
      </c>
      <c r="AU41">
        <v>5</v>
      </c>
      <c r="AV41" t="s">
        <v>37</v>
      </c>
      <c r="AW41">
        <v>5</v>
      </c>
      <c r="AX41" t="s">
        <v>37</v>
      </c>
      <c r="AY41">
        <v>5</v>
      </c>
      <c r="AZ41" t="s">
        <v>37</v>
      </c>
      <c r="BA41">
        <v>5</v>
      </c>
      <c r="BB41" t="s">
        <v>37</v>
      </c>
      <c r="BC41">
        <v>5</v>
      </c>
      <c r="BD41" t="s">
        <v>37</v>
      </c>
      <c r="BE41">
        <v>3</v>
      </c>
      <c r="BF41" t="s">
        <v>37</v>
      </c>
      <c r="BG41">
        <v>5</v>
      </c>
      <c r="BH41" t="s">
        <v>37</v>
      </c>
      <c r="BI41">
        <v>5</v>
      </c>
      <c r="BJ41" t="s">
        <v>37</v>
      </c>
      <c r="BK41">
        <v>4</v>
      </c>
      <c r="BL41" t="s">
        <v>37</v>
      </c>
      <c r="BM41">
        <v>5</v>
      </c>
      <c r="BN41" t="s">
        <v>37</v>
      </c>
      <c r="BO41">
        <v>5</v>
      </c>
      <c r="BP41" t="s">
        <v>37</v>
      </c>
      <c r="BQ41">
        <v>5</v>
      </c>
      <c r="BR41" t="s">
        <v>37</v>
      </c>
      <c r="BS41">
        <v>5</v>
      </c>
      <c r="BU41">
        <f>AVERAGE(E41:BS41)</f>
        <v>4.6764705882352944</v>
      </c>
    </row>
    <row r="42" spans="1:73" x14ac:dyDescent="0.35">
      <c r="A42" s="3">
        <v>41</v>
      </c>
      <c r="B42" s="3" t="s">
        <v>142</v>
      </c>
      <c r="C42" s="3" t="s">
        <v>35</v>
      </c>
      <c r="D42" t="s">
        <v>35</v>
      </c>
      <c r="E42">
        <v>4</v>
      </c>
      <c r="F42" s="1" t="s">
        <v>36</v>
      </c>
      <c r="G42" s="1">
        <v>5</v>
      </c>
      <c r="H42" s="1" t="s">
        <v>36</v>
      </c>
      <c r="I42" s="1">
        <v>5</v>
      </c>
      <c r="J42" t="s">
        <v>35</v>
      </c>
      <c r="K42">
        <v>5</v>
      </c>
      <c r="L42" t="s">
        <v>35</v>
      </c>
      <c r="M42">
        <v>5</v>
      </c>
      <c r="N42" t="s">
        <v>35</v>
      </c>
      <c r="O42">
        <v>5</v>
      </c>
      <c r="P42" t="s">
        <v>35</v>
      </c>
      <c r="Q42">
        <v>4</v>
      </c>
      <c r="R42" t="s">
        <v>35</v>
      </c>
      <c r="S42">
        <v>3</v>
      </c>
      <c r="T42" s="1" t="s">
        <v>36</v>
      </c>
      <c r="U42" s="1">
        <v>4</v>
      </c>
      <c r="V42" t="s">
        <v>35</v>
      </c>
      <c r="W42">
        <v>5</v>
      </c>
      <c r="X42" t="s">
        <v>35</v>
      </c>
      <c r="Y42">
        <v>4</v>
      </c>
      <c r="Z42" t="s">
        <v>35</v>
      </c>
      <c r="AA42">
        <v>4</v>
      </c>
      <c r="AB42" s="1" t="s">
        <v>36</v>
      </c>
      <c r="AC42" s="1">
        <v>4</v>
      </c>
      <c r="AD42" t="s">
        <v>35</v>
      </c>
      <c r="AE42">
        <v>2</v>
      </c>
      <c r="AF42" s="1" t="s">
        <v>36</v>
      </c>
      <c r="AG42" s="1">
        <v>2</v>
      </c>
      <c r="AH42" s="1" t="s">
        <v>36</v>
      </c>
      <c r="AI42" s="1">
        <v>2</v>
      </c>
      <c r="AJ42" s="1" t="s">
        <v>36</v>
      </c>
      <c r="AK42" s="1">
        <v>2</v>
      </c>
      <c r="AL42" s="1" t="s">
        <v>36</v>
      </c>
      <c r="AM42" s="1">
        <v>5</v>
      </c>
      <c r="AN42" t="s">
        <v>35</v>
      </c>
      <c r="AO42">
        <v>5</v>
      </c>
      <c r="AP42" t="s">
        <v>35</v>
      </c>
      <c r="AQ42">
        <v>1</v>
      </c>
      <c r="AR42" t="s">
        <v>35</v>
      </c>
      <c r="AS42">
        <v>3</v>
      </c>
      <c r="AT42" s="1" t="s">
        <v>36</v>
      </c>
      <c r="AU42" s="1">
        <v>4</v>
      </c>
      <c r="AV42" s="1" t="s">
        <v>36</v>
      </c>
      <c r="AW42" s="1">
        <v>3</v>
      </c>
      <c r="AX42" t="s">
        <v>35</v>
      </c>
      <c r="AY42">
        <v>5</v>
      </c>
      <c r="AZ42" t="s">
        <v>35</v>
      </c>
      <c r="BA42">
        <v>4</v>
      </c>
      <c r="BB42" s="1" t="s">
        <v>36</v>
      </c>
      <c r="BC42" s="1">
        <v>3</v>
      </c>
      <c r="BD42" t="s">
        <v>35</v>
      </c>
      <c r="BE42">
        <v>5</v>
      </c>
      <c r="BF42" s="1" t="s">
        <v>36</v>
      </c>
      <c r="BG42" s="1">
        <v>4</v>
      </c>
      <c r="BH42" t="s">
        <v>35</v>
      </c>
      <c r="BI42">
        <v>5</v>
      </c>
      <c r="BJ42" s="1" t="s">
        <v>36</v>
      </c>
      <c r="BK42" s="1">
        <v>4</v>
      </c>
      <c r="BL42" s="1" t="s">
        <v>36</v>
      </c>
      <c r="BM42" s="1">
        <v>5</v>
      </c>
      <c r="BN42" s="1" t="s">
        <v>36</v>
      </c>
      <c r="BO42" s="1">
        <v>3</v>
      </c>
      <c r="BP42" s="1" t="s">
        <v>36</v>
      </c>
      <c r="BQ42" s="1">
        <v>4</v>
      </c>
      <c r="BR42" t="s">
        <v>35</v>
      </c>
      <c r="BS42">
        <v>4</v>
      </c>
      <c r="BU42">
        <f>AVERAGE(BS42,BI42,BE42,BA42,AY42,AN42:AS42,AE42,V42:AA42,J42:S42,E42)</f>
        <v>4.0555555555555554</v>
      </c>
    </row>
    <row r="43" spans="1:73" x14ac:dyDescent="0.35">
      <c r="A43" s="3">
        <v>42</v>
      </c>
      <c r="B43" s="3" t="s">
        <v>143</v>
      </c>
      <c r="C43" s="3" t="s">
        <v>35</v>
      </c>
      <c r="D43" t="s">
        <v>35</v>
      </c>
      <c r="E43">
        <v>5</v>
      </c>
      <c r="F43" s="1" t="s">
        <v>36</v>
      </c>
      <c r="G43" s="1">
        <v>5</v>
      </c>
      <c r="H43" s="1" t="s">
        <v>36</v>
      </c>
      <c r="I43" s="1">
        <v>5</v>
      </c>
      <c r="J43" t="s">
        <v>35</v>
      </c>
      <c r="K43">
        <v>5</v>
      </c>
      <c r="L43" s="1" t="s">
        <v>36</v>
      </c>
      <c r="M43" s="1">
        <v>3</v>
      </c>
      <c r="N43" t="s">
        <v>35</v>
      </c>
      <c r="O43">
        <v>4</v>
      </c>
      <c r="P43" t="s">
        <v>35</v>
      </c>
      <c r="Q43">
        <v>4</v>
      </c>
      <c r="R43" t="s">
        <v>35</v>
      </c>
      <c r="S43">
        <v>5</v>
      </c>
      <c r="T43" t="s">
        <v>35</v>
      </c>
      <c r="U43">
        <v>4</v>
      </c>
      <c r="V43" s="1" t="s">
        <v>36</v>
      </c>
      <c r="W43" s="1">
        <v>5</v>
      </c>
      <c r="X43" s="1" t="s">
        <v>36</v>
      </c>
      <c r="Y43" s="1">
        <v>4</v>
      </c>
      <c r="Z43" s="1" t="s">
        <v>36</v>
      </c>
      <c r="AA43" s="1">
        <v>5</v>
      </c>
      <c r="AB43" s="1" t="s">
        <v>36</v>
      </c>
      <c r="AC43" s="1">
        <v>4</v>
      </c>
      <c r="AD43" s="1" t="s">
        <v>36</v>
      </c>
      <c r="AE43" s="1">
        <v>2</v>
      </c>
      <c r="AF43" s="1" t="s">
        <v>36</v>
      </c>
      <c r="AG43" s="1">
        <v>3</v>
      </c>
      <c r="AH43" s="1" t="s">
        <v>36</v>
      </c>
      <c r="AI43" s="1">
        <v>3</v>
      </c>
      <c r="AJ43" t="s">
        <v>35</v>
      </c>
      <c r="AK43">
        <v>5</v>
      </c>
      <c r="AL43" s="1" t="s">
        <v>36</v>
      </c>
      <c r="AM43" s="1">
        <v>5</v>
      </c>
      <c r="AN43" t="s">
        <v>35</v>
      </c>
      <c r="AO43">
        <v>5</v>
      </c>
      <c r="AP43" t="s">
        <v>35</v>
      </c>
      <c r="AQ43">
        <v>3</v>
      </c>
      <c r="AR43" t="s">
        <v>35</v>
      </c>
      <c r="AS43">
        <v>2</v>
      </c>
      <c r="AT43" s="1" t="s">
        <v>36</v>
      </c>
      <c r="AU43" s="1">
        <v>5</v>
      </c>
      <c r="AV43" s="1" t="s">
        <v>36</v>
      </c>
      <c r="AW43" s="1">
        <v>3</v>
      </c>
      <c r="AX43" t="s">
        <v>35</v>
      </c>
      <c r="AY43">
        <v>5</v>
      </c>
      <c r="AZ43" t="s">
        <v>35</v>
      </c>
      <c r="BA43">
        <v>3</v>
      </c>
      <c r="BB43" t="s">
        <v>35</v>
      </c>
      <c r="BC43">
        <v>5</v>
      </c>
      <c r="BD43" t="s">
        <v>35</v>
      </c>
      <c r="BE43">
        <v>4</v>
      </c>
      <c r="BF43" t="s">
        <v>35</v>
      </c>
      <c r="BG43">
        <v>4</v>
      </c>
      <c r="BH43" s="1" t="s">
        <v>36</v>
      </c>
      <c r="BI43" s="1">
        <v>4</v>
      </c>
      <c r="BJ43" t="s">
        <v>35</v>
      </c>
      <c r="BK43">
        <v>5</v>
      </c>
      <c r="BL43" t="s">
        <v>35</v>
      </c>
      <c r="BM43">
        <v>3</v>
      </c>
      <c r="BN43" s="1" t="s">
        <v>36</v>
      </c>
      <c r="BO43" s="1">
        <v>4</v>
      </c>
      <c r="BP43" t="s">
        <v>35</v>
      </c>
      <c r="BQ43">
        <v>4</v>
      </c>
      <c r="BR43" s="1" t="s">
        <v>36</v>
      </c>
      <c r="BS43" s="1">
        <v>3</v>
      </c>
      <c r="BU43">
        <f>AVERAGE(BQ43,BK43:BM43,AX43:BG43,AN43:AS43,AJ43:AK43,N43:U43,K43,E43)</f>
        <v>4.166666666666667</v>
      </c>
    </row>
    <row r="44" spans="1:73" x14ac:dyDescent="0.35">
      <c r="A44" s="3">
        <v>43</v>
      </c>
      <c r="B44" s="3" t="s">
        <v>144</v>
      </c>
      <c r="C44" s="3" t="s">
        <v>35</v>
      </c>
      <c r="D44" t="s">
        <v>35</v>
      </c>
      <c r="E44">
        <v>4</v>
      </c>
      <c r="F44" t="s">
        <v>35</v>
      </c>
      <c r="G44">
        <v>5</v>
      </c>
      <c r="H44" t="s">
        <v>35</v>
      </c>
      <c r="I44">
        <v>5</v>
      </c>
      <c r="J44" t="s">
        <v>35</v>
      </c>
      <c r="K44">
        <v>5</v>
      </c>
      <c r="L44" t="s">
        <v>35</v>
      </c>
      <c r="M44">
        <v>4</v>
      </c>
      <c r="N44" t="s">
        <v>35</v>
      </c>
      <c r="O44">
        <v>5</v>
      </c>
      <c r="P44" t="s">
        <v>35</v>
      </c>
      <c r="Q44">
        <v>5</v>
      </c>
      <c r="R44" t="s">
        <v>35</v>
      </c>
      <c r="S44">
        <v>5</v>
      </c>
      <c r="T44" t="s">
        <v>35</v>
      </c>
      <c r="U44">
        <v>4</v>
      </c>
      <c r="V44" t="s">
        <v>35</v>
      </c>
      <c r="W44">
        <v>3</v>
      </c>
      <c r="X44" t="s">
        <v>35</v>
      </c>
      <c r="Y44">
        <v>4</v>
      </c>
      <c r="Z44" t="s">
        <v>35</v>
      </c>
      <c r="AA44">
        <v>5</v>
      </c>
      <c r="AB44" t="s">
        <v>35</v>
      </c>
      <c r="AC44">
        <v>4</v>
      </c>
      <c r="AD44" t="s">
        <v>35</v>
      </c>
      <c r="AE44">
        <v>4</v>
      </c>
      <c r="AF44" t="s">
        <v>35</v>
      </c>
      <c r="AG44">
        <v>4</v>
      </c>
      <c r="AH44" t="s">
        <v>35</v>
      </c>
      <c r="AI44">
        <v>5</v>
      </c>
      <c r="AJ44" t="s">
        <v>35</v>
      </c>
      <c r="AK44">
        <v>5</v>
      </c>
      <c r="AL44" s="1" t="s">
        <v>36</v>
      </c>
      <c r="AM44" s="1">
        <v>2</v>
      </c>
      <c r="AN44" t="s">
        <v>35</v>
      </c>
      <c r="AO44">
        <v>4</v>
      </c>
      <c r="AP44" t="s">
        <v>35</v>
      </c>
      <c r="AQ44">
        <v>4</v>
      </c>
      <c r="AR44" t="s">
        <v>35</v>
      </c>
      <c r="AS44">
        <v>3</v>
      </c>
      <c r="AT44" s="1" t="s">
        <v>36</v>
      </c>
      <c r="AU44" s="1">
        <v>4</v>
      </c>
      <c r="AV44" t="s">
        <v>35</v>
      </c>
      <c r="AW44">
        <v>4</v>
      </c>
      <c r="AX44" t="s">
        <v>35</v>
      </c>
      <c r="AY44">
        <v>4</v>
      </c>
      <c r="AZ44" t="s">
        <v>35</v>
      </c>
      <c r="BA44">
        <v>5</v>
      </c>
      <c r="BB44" t="s">
        <v>35</v>
      </c>
      <c r="BC44">
        <v>5</v>
      </c>
      <c r="BD44" t="s">
        <v>35</v>
      </c>
      <c r="BE44">
        <v>3</v>
      </c>
      <c r="BF44" t="s">
        <v>35</v>
      </c>
      <c r="BG44">
        <v>4</v>
      </c>
      <c r="BH44" t="s">
        <v>35</v>
      </c>
      <c r="BI44">
        <v>4</v>
      </c>
      <c r="BJ44" t="s">
        <v>35</v>
      </c>
      <c r="BK44">
        <v>5</v>
      </c>
      <c r="BL44" t="s">
        <v>35</v>
      </c>
      <c r="BM44">
        <v>5</v>
      </c>
      <c r="BN44" t="s">
        <v>35</v>
      </c>
      <c r="BO44">
        <v>4</v>
      </c>
      <c r="BP44" t="s">
        <v>35</v>
      </c>
      <c r="BQ44">
        <v>3</v>
      </c>
      <c r="BR44" t="s">
        <v>35</v>
      </c>
      <c r="BS44">
        <v>5</v>
      </c>
      <c r="BU44">
        <f>AVERAGE(AV44:BS44,AN44:AS44,E44:AK44)</f>
        <v>4.3125</v>
      </c>
    </row>
    <row r="45" spans="1:73" x14ac:dyDescent="0.35">
      <c r="A45" s="3">
        <v>44</v>
      </c>
      <c r="B45" s="3" t="s">
        <v>145</v>
      </c>
      <c r="C45" s="3" t="s">
        <v>35</v>
      </c>
      <c r="D45" s="1" t="s">
        <v>36</v>
      </c>
      <c r="E45" s="1">
        <v>4</v>
      </c>
      <c r="F45" t="s">
        <v>35</v>
      </c>
      <c r="G45">
        <v>4</v>
      </c>
      <c r="H45" t="s">
        <v>35</v>
      </c>
      <c r="I45">
        <v>5</v>
      </c>
      <c r="J45" t="s">
        <v>35</v>
      </c>
      <c r="K45">
        <v>5</v>
      </c>
      <c r="L45" t="s">
        <v>35</v>
      </c>
      <c r="M45">
        <v>4</v>
      </c>
      <c r="N45" t="s">
        <v>35</v>
      </c>
      <c r="O45">
        <v>4</v>
      </c>
      <c r="P45" t="s">
        <v>35</v>
      </c>
      <c r="Q45">
        <v>5</v>
      </c>
      <c r="R45" t="s">
        <v>35</v>
      </c>
      <c r="S45">
        <v>4</v>
      </c>
      <c r="T45" t="s">
        <v>35</v>
      </c>
      <c r="U45">
        <v>3</v>
      </c>
      <c r="V45" t="s">
        <v>35</v>
      </c>
      <c r="W45">
        <v>5</v>
      </c>
      <c r="X45" t="s">
        <v>35</v>
      </c>
      <c r="Y45">
        <v>4</v>
      </c>
      <c r="Z45" t="s">
        <v>35</v>
      </c>
      <c r="AA45">
        <v>5</v>
      </c>
      <c r="AB45" t="s">
        <v>35</v>
      </c>
      <c r="AC45">
        <v>4</v>
      </c>
      <c r="AD45" t="s">
        <v>38</v>
      </c>
      <c r="AE45">
        <v>5</v>
      </c>
      <c r="AF45" t="s">
        <v>35</v>
      </c>
      <c r="AG45">
        <v>5</v>
      </c>
      <c r="AH45" t="s">
        <v>35</v>
      </c>
      <c r="AI45">
        <v>5</v>
      </c>
      <c r="AJ45" s="1" t="s">
        <v>36</v>
      </c>
      <c r="AK45" s="1">
        <v>2</v>
      </c>
      <c r="AL45" t="s">
        <v>35</v>
      </c>
      <c r="AM45">
        <v>5</v>
      </c>
      <c r="AN45" t="s">
        <v>35</v>
      </c>
      <c r="AO45">
        <v>4</v>
      </c>
      <c r="AP45" t="s">
        <v>35</v>
      </c>
      <c r="AQ45">
        <v>4</v>
      </c>
      <c r="AR45" t="s">
        <v>35</v>
      </c>
      <c r="AS45">
        <v>3</v>
      </c>
      <c r="AT45" s="1" t="s">
        <v>36</v>
      </c>
      <c r="AU45" s="1">
        <v>4</v>
      </c>
      <c r="AV45" t="s">
        <v>35</v>
      </c>
      <c r="AW45">
        <v>3</v>
      </c>
      <c r="AX45" t="s">
        <v>35</v>
      </c>
      <c r="AY45">
        <v>5</v>
      </c>
      <c r="AZ45" t="s">
        <v>35</v>
      </c>
      <c r="BA45">
        <v>4</v>
      </c>
      <c r="BB45" t="s">
        <v>35</v>
      </c>
      <c r="BC45">
        <v>5</v>
      </c>
      <c r="BD45" t="s">
        <v>35</v>
      </c>
      <c r="BE45">
        <v>4</v>
      </c>
      <c r="BF45" s="1" t="s">
        <v>36</v>
      </c>
      <c r="BG45" s="1">
        <v>4</v>
      </c>
      <c r="BH45" t="s">
        <v>35</v>
      </c>
      <c r="BI45">
        <v>4</v>
      </c>
      <c r="BJ45" t="s">
        <v>35</v>
      </c>
      <c r="BK45">
        <v>4</v>
      </c>
      <c r="BL45" s="1" t="s">
        <v>36</v>
      </c>
      <c r="BM45" s="1">
        <v>3</v>
      </c>
      <c r="BN45" t="s">
        <v>35</v>
      </c>
      <c r="BO45">
        <v>4</v>
      </c>
      <c r="BP45" s="1" t="s">
        <v>36</v>
      </c>
      <c r="BQ45" s="1">
        <v>2</v>
      </c>
      <c r="BR45" t="s">
        <v>35</v>
      </c>
      <c r="BS45">
        <v>5</v>
      </c>
      <c r="BU45">
        <f>AVERAGE(BS45,BO45,BI45:BK45,AV45:BE45,AM45:AS45,F45:AI45)</f>
        <v>4.3214285714285712</v>
      </c>
    </row>
    <row r="46" spans="1:73" x14ac:dyDescent="0.35">
      <c r="A46" s="3">
        <v>45</v>
      </c>
      <c r="B46" s="3" t="s">
        <v>146</v>
      </c>
      <c r="C46" s="3" t="s">
        <v>35</v>
      </c>
      <c r="D46" t="s">
        <v>35</v>
      </c>
      <c r="E46">
        <v>5</v>
      </c>
      <c r="F46" t="s">
        <v>35</v>
      </c>
      <c r="G46">
        <v>5</v>
      </c>
      <c r="H46" t="s">
        <v>35</v>
      </c>
      <c r="I46">
        <v>5</v>
      </c>
      <c r="J46" t="s">
        <v>35</v>
      </c>
      <c r="K46">
        <v>5</v>
      </c>
      <c r="L46" t="s">
        <v>35</v>
      </c>
      <c r="M46">
        <v>3</v>
      </c>
      <c r="N46" t="s">
        <v>35</v>
      </c>
      <c r="O46">
        <v>5</v>
      </c>
      <c r="P46" t="s">
        <v>35</v>
      </c>
      <c r="Q46">
        <v>4</v>
      </c>
      <c r="R46" t="s">
        <v>35</v>
      </c>
      <c r="S46">
        <v>4</v>
      </c>
      <c r="T46" t="s">
        <v>35</v>
      </c>
      <c r="U46">
        <v>4</v>
      </c>
      <c r="V46" t="s">
        <v>35</v>
      </c>
      <c r="W46">
        <v>5</v>
      </c>
      <c r="X46" t="s">
        <v>35</v>
      </c>
      <c r="Y46">
        <v>4</v>
      </c>
      <c r="Z46" t="s">
        <v>35</v>
      </c>
      <c r="AA46">
        <v>5</v>
      </c>
      <c r="AB46" t="s">
        <v>35</v>
      </c>
      <c r="AC46">
        <v>3</v>
      </c>
      <c r="AD46" t="s">
        <v>35</v>
      </c>
      <c r="AE46">
        <v>3</v>
      </c>
      <c r="AF46" t="s">
        <v>35</v>
      </c>
      <c r="AG46">
        <v>5</v>
      </c>
      <c r="AH46" t="s">
        <v>35</v>
      </c>
      <c r="AI46">
        <v>5</v>
      </c>
      <c r="AJ46" t="s">
        <v>35</v>
      </c>
      <c r="AK46">
        <v>5</v>
      </c>
      <c r="AL46" s="1" t="s">
        <v>36</v>
      </c>
      <c r="AM46" s="1">
        <v>3</v>
      </c>
      <c r="AN46" t="s">
        <v>35</v>
      </c>
      <c r="AO46">
        <v>4</v>
      </c>
      <c r="AP46" s="1" t="s">
        <v>36</v>
      </c>
      <c r="AQ46" s="1">
        <v>2</v>
      </c>
      <c r="AR46" t="s">
        <v>35</v>
      </c>
      <c r="AS46">
        <v>4</v>
      </c>
      <c r="AT46" s="1" t="s">
        <v>36</v>
      </c>
      <c r="AU46" s="1">
        <v>5</v>
      </c>
      <c r="AV46" t="s">
        <v>35</v>
      </c>
      <c r="AW46">
        <v>4</v>
      </c>
      <c r="AX46" t="s">
        <v>35</v>
      </c>
      <c r="AY46">
        <v>4</v>
      </c>
      <c r="AZ46" t="s">
        <v>35</v>
      </c>
      <c r="BA46">
        <v>5</v>
      </c>
      <c r="BB46" t="s">
        <v>35</v>
      </c>
      <c r="BC46">
        <v>5</v>
      </c>
      <c r="BD46" t="s">
        <v>35</v>
      </c>
      <c r="BE46">
        <v>3</v>
      </c>
      <c r="BF46" t="s">
        <v>35</v>
      </c>
      <c r="BG46">
        <v>4</v>
      </c>
      <c r="BH46" t="s">
        <v>35</v>
      </c>
      <c r="BI46">
        <v>4</v>
      </c>
      <c r="BJ46" t="s">
        <v>35</v>
      </c>
      <c r="BK46">
        <v>5</v>
      </c>
      <c r="BL46" s="1" t="s">
        <v>36</v>
      </c>
      <c r="BM46" s="1">
        <v>2</v>
      </c>
      <c r="BN46" t="s">
        <v>35</v>
      </c>
      <c r="BO46">
        <v>4</v>
      </c>
      <c r="BP46" t="s">
        <v>35</v>
      </c>
      <c r="BQ46">
        <v>4</v>
      </c>
      <c r="BR46" s="1" t="s">
        <v>36</v>
      </c>
      <c r="BS46" s="1">
        <v>3</v>
      </c>
      <c r="BU46">
        <f>AVERAGE(BO46:BQ46,BI46:BK46,AV46:BG46,AR46:AS46,AO46,E46:AK46)</f>
        <v>4.3103448275862073</v>
      </c>
    </row>
    <row r="47" spans="1:73" x14ac:dyDescent="0.35">
      <c r="A47" s="3">
        <v>46</v>
      </c>
      <c r="B47" s="3" t="s">
        <v>147</v>
      </c>
      <c r="C47" s="3" t="s">
        <v>35</v>
      </c>
      <c r="D47" t="s">
        <v>35</v>
      </c>
      <c r="E47">
        <v>4</v>
      </c>
      <c r="F47" t="s">
        <v>35</v>
      </c>
      <c r="G47">
        <v>5</v>
      </c>
      <c r="H47" t="s">
        <v>35</v>
      </c>
      <c r="I47">
        <v>5</v>
      </c>
      <c r="J47" t="s">
        <v>35</v>
      </c>
      <c r="K47">
        <v>4</v>
      </c>
      <c r="L47" t="s">
        <v>35</v>
      </c>
      <c r="M47">
        <v>4</v>
      </c>
      <c r="N47" t="s">
        <v>35</v>
      </c>
      <c r="O47">
        <v>5</v>
      </c>
      <c r="P47" t="s">
        <v>35</v>
      </c>
      <c r="Q47">
        <v>4</v>
      </c>
      <c r="R47" t="s">
        <v>35</v>
      </c>
      <c r="S47">
        <v>5</v>
      </c>
      <c r="T47" t="s">
        <v>35</v>
      </c>
      <c r="U47">
        <v>3</v>
      </c>
      <c r="V47" t="s">
        <v>35</v>
      </c>
      <c r="W47">
        <v>5</v>
      </c>
      <c r="X47" t="s">
        <v>35</v>
      </c>
      <c r="Y47">
        <v>4</v>
      </c>
      <c r="Z47" t="s">
        <v>35</v>
      </c>
      <c r="AA47">
        <v>5</v>
      </c>
      <c r="AB47" t="s">
        <v>35</v>
      </c>
      <c r="AC47">
        <v>4</v>
      </c>
      <c r="AD47" t="s">
        <v>35</v>
      </c>
      <c r="AE47">
        <v>3</v>
      </c>
      <c r="AF47" t="s">
        <v>35</v>
      </c>
      <c r="AG47">
        <v>4</v>
      </c>
      <c r="AH47" t="s">
        <v>35</v>
      </c>
      <c r="AI47">
        <v>4</v>
      </c>
      <c r="AJ47" s="1" t="s">
        <v>36</v>
      </c>
      <c r="AK47" s="1">
        <v>1</v>
      </c>
      <c r="AL47" t="s">
        <v>35</v>
      </c>
      <c r="AM47">
        <v>4</v>
      </c>
      <c r="AN47" t="s">
        <v>35</v>
      </c>
      <c r="AO47">
        <v>4</v>
      </c>
      <c r="AP47" t="s">
        <v>35</v>
      </c>
      <c r="AQ47">
        <v>4</v>
      </c>
      <c r="AR47" t="s">
        <v>35</v>
      </c>
      <c r="AS47">
        <v>4</v>
      </c>
      <c r="AT47" t="s">
        <v>35</v>
      </c>
      <c r="AU47">
        <v>4</v>
      </c>
      <c r="AV47" t="s">
        <v>35</v>
      </c>
      <c r="AW47">
        <v>4</v>
      </c>
      <c r="AX47" t="s">
        <v>35</v>
      </c>
      <c r="AY47">
        <v>5</v>
      </c>
      <c r="AZ47" t="s">
        <v>35</v>
      </c>
      <c r="BA47">
        <v>4</v>
      </c>
      <c r="BB47" t="s">
        <v>35</v>
      </c>
      <c r="BC47">
        <v>5</v>
      </c>
      <c r="BD47" t="s">
        <v>35</v>
      </c>
      <c r="BE47">
        <v>4</v>
      </c>
      <c r="BF47" t="s">
        <v>35</v>
      </c>
      <c r="BG47">
        <v>5</v>
      </c>
      <c r="BH47" t="s">
        <v>35</v>
      </c>
      <c r="BI47">
        <v>4</v>
      </c>
      <c r="BJ47" t="s">
        <v>35</v>
      </c>
      <c r="BK47">
        <v>4</v>
      </c>
      <c r="BL47" t="s">
        <v>35</v>
      </c>
      <c r="BM47">
        <v>3</v>
      </c>
      <c r="BN47" t="s">
        <v>35</v>
      </c>
      <c r="BO47">
        <v>3</v>
      </c>
      <c r="BP47" t="s">
        <v>35</v>
      </c>
      <c r="BQ47">
        <v>4</v>
      </c>
      <c r="BR47" t="s">
        <v>35</v>
      </c>
      <c r="BS47">
        <v>4</v>
      </c>
      <c r="BU47">
        <f>AVERAGE(AL47:BS47,E47:AI47)</f>
        <v>4.1515151515151514</v>
      </c>
    </row>
    <row r="48" spans="1:73" x14ac:dyDescent="0.35">
      <c r="A48" s="3">
        <v>47</v>
      </c>
      <c r="B48" s="3" t="s">
        <v>148</v>
      </c>
      <c r="C48" s="3" t="s">
        <v>35</v>
      </c>
      <c r="D48" t="s">
        <v>35</v>
      </c>
      <c r="E48">
        <v>5</v>
      </c>
      <c r="F48" s="1" t="s">
        <v>32</v>
      </c>
      <c r="G48" s="1">
        <v>4</v>
      </c>
      <c r="H48" t="s">
        <v>35</v>
      </c>
      <c r="I48">
        <v>5</v>
      </c>
      <c r="J48" t="s">
        <v>35</v>
      </c>
      <c r="K48">
        <v>5</v>
      </c>
      <c r="L48" t="s">
        <v>35</v>
      </c>
      <c r="M48">
        <v>3</v>
      </c>
      <c r="N48" t="s">
        <v>35</v>
      </c>
      <c r="O48">
        <v>5</v>
      </c>
      <c r="P48" t="s">
        <v>35</v>
      </c>
      <c r="Q48">
        <v>5</v>
      </c>
      <c r="R48" t="s">
        <v>35</v>
      </c>
      <c r="S48">
        <v>4</v>
      </c>
      <c r="T48" t="s">
        <v>35</v>
      </c>
      <c r="U48">
        <v>4</v>
      </c>
      <c r="V48" t="s">
        <v>35</v>
      </c>
      <c r="W48">
        <v>5</v>
      </c>
      <c r="X48" t="s">
        <v>35</v>
      </c>
      <c r="Y48">
        <v>4</v>
      </c>
      <c r="Z48" t="s">
        <v>35</v>
      </c>
      <c r="AA48">
        <v>5</v>
      </c>
      <c r="AB48" t="s">
        <v>35</v>
      </c>
      <c r="AC48">
        <v>4</v>
      </c>
      <c r="AD48" t="s">
        <v>35</v>
      </c>
      <c r="AE48">
        <v>3</v>
      </c>
      <c r="AF48" t="s">
        <v>35</v>
      </c>
      <c r="AG48">
        <v>4</v>
      </c>
      <c r="AH48" t="s">
        <v>35</v>
      </c>
      <c r="AI48">
        <v>5</v>
      </c>
      <c r="AJ48" t="s">
        <v>35</v>
      </c>
      <c r="AK48">
        <v>3</v>
      </c>
      <c r="AL48" t="s">
        <v>35</v>
      </c>
      <c r="AM48">
        <v>5</v>
      </c>
      <c r="AN48" t="s">
        <v>35</v>
      </c>
      <c r="AO48">
        <v>4</v>
      </c>
      <c r="AP48" t="s">
        <v>35</v>
      </c>
      <c r="AQ48">
        <v>4</v>
      </c>
      <c r="AR48" t="s">
        <v>35</v>
      </c>
      <c r="AS48">
        <v>4</v>
      </c>
      <c r="AT48" s="1" t="s">
        <v>36</v>
      </c>
      <c r="AU48" s="1">
        <v>4</v>
      </c>
      <c r="AV48" t="s">
        <v>35</v>
      </c>
      <c r="AW48">
        <v>4</v>
      </c>
      <c r="AX48" t="s">
        <v>35</v>
      </c>
      <c r="AY48">
        <v>5</v>
      </c>
      <c r="AZ48" t="s">
        <v>35</v>
      </c>
      <c r="BA48">
        <v>5</v>
      </c>
      <c r="BB48" t="s">
        <v>35</v>
      </c>
      <c r="BC48">
        <v>5</v>
      </c>
      <c r="BD48" t="s">
        <v>35</v>
      </c>
      <c r="BE48">
        <v>4</v>
      </c>
      <c r="BF48" s="1" t="s">
        <v>36</v>
      </c>
      <c r="BG48" s="1">
        <v>4</v>
      </c>
      <c r="BH48" t="s">
        <v>35</v>
      </c>
      <c r="BI48">
        <v>4</v>
      </c>
      <c r="BJ48" t="s">
        <v>35</v>
      </c>
      <c r="BK48">
        <v>5</v>
      </c>
      <c r="BL48" t="s">
        <v>35</v>
      </c>
      <c r="BM48">
        <v>4</v>
      </c>
      <c r="BN48" t="s">
        <v>35</v>
      </c>
      <c r="BO48">
        <v>5</v>
      </c>
      <c r="BP48" t="s">
        <v>35</v>
      </c>
      <c r="BQ48">
        <v>4</v>
      </c>
      <c r="BR48" t="s">
        <v>35</v>
      </c>
      <c r="BS48">
        <v>5</v>
      </c>
      <c r="BU48">
        <f>AVERAGE(BH48:BS48,AV48:BE48,H48:AS48,D48:E48)</f>
        <v>4.387096774193548</v>
      </c>
    </row>
    <row r="49" spans="1:73" x14ac:dyDescent="0.35">
      <c r="A49" s="3">
        <v>48</v>
      </c>
      <c r="B49" s="3" t="s">
        <v>149</v>
      </c>
      <c r="C49" s="3" t="s">
        <v>35</v>
      </c>
      <c r="D49" t="s">
        <v>35</v>
      </c>
      <c r="E49">
        <v>5</v>
      </c>
      <c r="F49" t="s">
        <v>35</v>
      </c>
      <c r="G49">
        <v>4</v>
      </c>
      <c r="H49" s="1" t="s">
        <v>36</v>
      </c>
      <c r="I49" s="1">
        <v>5</v>
      </c>
      <c r="J49" t="s">
        <v>35</v>
      </c>
      <c r="K49">
        <v>5</v>
      </c>
      <c r="L49" s="1" t="s">
        <v>36</v>
      </c>
      <c r="M49" s="1">
        <v>3</v>
      </c>
      <c r="N49" t="s">
        <v>35</v>
      </c>
      <c r="O49">
        <v>4</v>
      </c>
      <c r="P49" t="s">
        <v>35</v>
      </c>
      <c r="Q49">
        <v>5</v>
      </c>
      <c r="R49" t="s">
        <v>35</v>
      </c>
      <c r="S49">
        <v>4</v>
      </c>
      <c r="T49" t="s">
        <v>35</v>
      </c>
      <c r="U49">
        <v>3</v>
      </c>
      <c r="V49" t="s">
        <v>35</v>
      </c>
      <c r="W49">
        <v>5</v>
      </c>
      <c r="X49" t="s">
        <v>35</v>
      </c>
      <c r="Y49">
        <v>4</v>
      </c>
      <c r="Z49" t="s">
        <v>35</v>
      </c>
      <c r="AA49">
        <v>5</v>
      </c>
      <c r="AB49" s="1" t="s">
        <v>36</v>
      </c>
      <c r="AC49" s="1">
        <v>3</v>
      </c>
      <c r="AD49" t="s">
        <v>35</v>
      </c>
      <c r="AE49">
        <v>4</v>
      </c>
      <c r="AF49" t="s">
        <v>35</v>
      </c>
      <c r="AG49">
        <v>3</v>
      </c>
      <c r="AH49" t="s">
        <v>35</v>
      </c>
      <c r="AI49">
        <v>5</v>
      </c>
      <c r="AJ49" s="1" t="s">
        <v>36</v>
      </c>
      <c r="AK49" s="1">
        <v>2</v>
      </c>
      <c r="AL49" t="s">
        <v>35</v>
      </c>
      <c r="AM49">
        <v>3</v>
      </c>
      <c r="AN49" t="s">
        <v>35</v>
      </c>
      <c r="AO49">
        <v>3</v>
      </c>
      <c r="AP49" t="s">
        <v>35</v>
      </c>
      <c r="AQ49">
        <v>5</v>
      </c>
      <c r="AR49" s="1" t="s">
        <v>36</v>
      </c>
      <c r="AS49" s="1">
        <v>3</v>
      </c>
      <c r="AT49" s="1" t="s">
        <v>36</v>
      </c>
      <c r="AU49" s="1">
        <v>5</v>
      </c>
      <c r="AV49" t="s">
        <v>35</v>
      </c>
      <c r="AW49">
        <v>3</v>
      </c>
      <c r="AX49" t="s">
        <v>35</v>
      </c>
      <c r="AY49">
        <v>5</v>
      </c>
      <c r="AZ49" t="s">
        <v>35</v>
      </c>
      <c r="BA49">
        <v>4</v>
      </c>
      <c r="BB49" t="s">
        <v>35</v>
      </c>
      <c r="BC49">
        <v>4</v>
      </c>
      <c r="BD49" t="s">
        <v>35</v>
      </c>
      <c r="BE49">
        <v>4</v>
      </c>
      <c r="BF49" t="s">
        <v>35</v>
      </c>
      <c r="BG49">
        <v>5</v>
      </c>
      <c r="BH49" t="s">
        <v>35</v>
      </c>
      <c r="BI49">
        <v>5</v>
      </c>
      <c r="BJ49" t="s">
        <v>35</v>
      </c>
      <c r="BK49">
        <v>4</v>
      </c>
      <c r="BL49" s="1" t="s">
        <v>36</v>
      </c>
      <c r="BM49" s="1">
        <v>2</v>
      </c>
      <c r="BN49" t="s">
        <v>35</v>
      </c>
      <c r="BO49">
        <v>5</v>
      </c>
      <c r="BP49" s="1" t="s">
        <v>36</v>
      </c>
      <c r="BQ49" s="1">
        <v>3</v>
      </c>
      <c r="BR49" t="s">
        <v>35</v>
      </c>
      <c r="BS49">
        <v>3</v>
      </c>
      <c r="BU49">
        <f>AVERAGE(BS49,BO49,AV49:BK49,AL49:AQ49,AD49:AI49,N49:AA49,K49,E49:G49)</f>
        <v>4.1923076923076925</v>
      </c>
    </row>
    <row r="50" spans="1:73" x14ac:dyDescent="0.35">
      <c r="A50" s="3">
        <v>49</v>
      </c>
      <c r="B50" s="3" t="s">
        <v>150</v>
      </c>
      <c r="C50" s="3" t="s">
        <v>35</v>
      </c>
      <c r="D50" t="s">
        <v>35</v>
      </c>
      <c r="E50">
        <v>4</v>
      </c>
      <c r="F50" t="s">
        <v>35</v>
      </c>
      <c r="G50">
        <v>4</v>
      </c>
      <c r="H50" t="s">
        <v>35</v>
      </c>
      <c r="I50">
        <v>5</v>
      </c>
      <c r="J50" t="s">
        <v>35</v>
      </c>
      <c r="K50">
        <v>5</v>
      </c>
      <c r="L50" t="s">
        <v>36</v>
      </c>
      <c r="M50">
        <v>4</v>
      </c>
      <c r="N50" t="s">
        <v>35</v>
      </c>
      <c r="O50">
        <v>4</v>
      </c>
      <c r="P50" t="s">
        <v>35</v>
      </c>
      <c r="Q50">
        <v>5</v>
      </c>
      <c r="R50" t="s">
        <v>35</v>
      </c>
      <c r="S50">
        <v>4</v>
      </c>
      <c r="T50" s="1" t="s">
        <v>36</v>
      </c>
      <c r="U50" s="1">
        <v>3</v>
      </c>
      <c r="V50" t="s">
        <v>35</v>
      </c>
      <c r="W50">
        <v>3</v>
      </c>
      <c r="X50" t="s">
        <v>35</v>
      </c>
      <c r="Y50">
        <v>3</v>
      </c>
      <c r="Z50" t="s">
        <v>35</v>
      </c>
      <c r="AA50">
        <v>5</v>
      </c>
      <c r="AB50" t="s">
        <v>35</v>
      </c>
      <c r="AC50">
        <v>3</v>
      </c>
      <c r="AD50" t="s">
        <v>35</v>
      </c>
      <c r="AE50">
        <v>2</v>
      </c>
      <c r="AF50" t="s">
        <v>35</v>
      </c>
      <c r="AG50">
        <v>4</v>
      </c>
      <c r="AH50" t="s">
        <v>35</v>
      </c>
      <c r="AI50">
        <v>5</v>
      </c>
      <c r="AJ50" t="s">
        <v>35</v>
      </c>
      <c r="AK50">
        <v>5</v>
      </c>
      <c r="AL50" t="s">
        <v>35</v>
      </c>
      <c r="AM50">
        <v>5</v>
      </c>
      <c r="AN50" t="s">
        <v>35</v>
      </c>
      <c r="AO50">
        <v>4</v>
      </c>
      <c r="AP50" s="1" t="s">
        <v>36</v>
      </c>
      <c r="AQ50" s="1">
        <v>3</v>
      </c>
      <c r="AR50" t="s">
        <v>35</v>
      </c>
      <c r="AS50">
        <v>1</v>
      </c>
      <c r="AT50" t="s">
        <v>35</v>
      </c>
      <c r="AU50">
        <v>4</v>
      </c>
      <c r="AV50" t="s">
        <v>35</v>
      </c>
      <c r="AW50">
        <v>5</v>
      </c>
      <c r="AX50" t="s">
        <v>35</v>
      </c>
      <c r="AY50">
        <v>5</v>
      </c>
      <c r="AZ50" t="s">
        <v>35</v>
      </c>
      <c r="BA50">
        <v>4</v>
      </c>
      <c r="BB50" t="s">
        <v>35</v>
      </c>
      <c r="BC50">
        <v>4</v>
      </c>
      <c r="BD50" t="s">
        <v>35</v>
      </c>
      <c r="BE50">
        <v>4</v>
      </c>
      <c r="BF50" t="s">
        <v>35</v>
      </c>
      <c r="BG50">
        <v>5</v>
      </c>
      <c r="BH50" t="s">
        <v>35</v>
      </c>
      <c r="BI50">
        <v>5</v>
      </c>
      <c r="BJ50" t="s">
        <v>35</v>
      </c>
      <c r="BK50">
        <v>5</v>
      </c>
      <c r="BL50" t="s">
        <v>35</v>
      </c>
      <c r="BM50">
        <v>4</v>
      </c>
      <c r="BN50" t="s">
        <v>35</v>
      </c>
      <c r="BO50">
        <v>4</v>
      </c>
      <c r="BP50" t="s">
        <v>35</v>
      </c>
      <c r="BQ50">
        <v>4</v>
      </c>
      <c r="BR50" t="s">
        <v>35</v>
      </c>
      <c r="BS50">
        <v>2</v>
      </c>
      <c r="BU50">
        <f>AVERAGE(AR50:BS50,V50:AO50,O50:S50,E50:K50)</f>
        <v>4.064516129032258</v>
      </c>
    </row>
    <row r="51" spans="1:73" x14ac:dyDescent="0.35">
      <c r="A51" s="3">
        <v>50</v>
      </c>
      <c r="B51" s="3" t="s">
        <v>151</v>
      </c>
      <c r="C51" s="3" t="s">
        <v>35</v>
      </c>
      <c r="D51" s="1" t="s">
        <v>36</v>
      </c>
      <c r="E51" s="1">
        <v>3</v>
      </c>
      <c r="F51" t="s">
        <v>35</v>
      </c>
      <c r="G51">
        <v>5</v>
      </c>
      <c r="H51" t="s">
        <v>35</v>
      </c>
      <c r="I51">
        <v>5</v>
      </c>
      <c r="J51" t="s">
        <v>35</v>
      </c>
      <c r="K51">
        <v>5</v>
      </c>
      <c r="L51" t="s">
        <v>35</v>
      </c>
      <c r="M51">
        <v>3</v>
      </c>
      <c r="N51" t="s">
        <v>35</v>
      </c>
      <c r="O51">
        <v>5</v>
      </c>
      <c r="P51" t="s">
        <v>35</v>
      </c>
      <c r="Q51">
        <v>4</v>
      </c>
      <c r="R51" t="s">
        <v>35</v>
      </c>
      <c r="S51">
        <v>5</v>
      </c>
      <c r="T51" s="1" t="s">
        <v>32</v>
      </c>
      <c r="U51" s="1">
        <v>3</v>
      </c>
      <c r="V51" t="s">
        <v>35</v>
      </c>
      <c r="W51">
        <v>5</v>
      </c>
      <c r="X51" t="s">
        <v>35</v>
      </c>
      <c r="Y51">
        <v>3</v>
      </c>
      <c r="Z51" t="s">
        <v>35</v>
      </c>
      <c r="AA51">
        <v>5</v>
      </c>
      <c r="AB51" t="s">
        <v>35</v>
      </c>
      <c r="AC51">
        <v>4</v>
      </c>
      <c r="AD51" t="s">
        <v>35</v>
      </c>
      <c r="AE51">
        <v>3</v>
      </c>
      <c r="AF51" t="s">
        <v>35</v>
      </c>
      <c r="AG51">
        <v>5</v>
      </c>
      <c r="AH51" t="s">
        <v>35</v>
      </c>
      <c r="AI51">
        <v>5</v>
      </c>
      <c r="AJ51" t="s">
        <v>35</v>
      </c>
      <c r="AK51">
        <v>5</v>
      </c>
      <c r="AL51" t="s">
        <v>35</v>
      </c>
      <c r="AM51">
        <v>5</v>
      </c>
      <c r="AN51" t="s">
        <v>35</v>
      </c>
      <c r="AO51">
        <v>5</v>
      </c>
      <c r="AP51" t="s">
        <v>35</v>
      </c>
      <c r="AQ51">
        <v>3</v>
      </c>
      <c r="AR51" t="s">
        <v>35</v>
      </c>
      <c r="AS51">
        <v>4</v>
      </c>
      <c r="AT51" s="1" t="s">
        <v>36</v>
      </c>
      <c r="AU51" s="1">
        <v>4</v>
      </c>
      <c r="AV51" s="1" t="s">
        <v>36</v>
      </c>
      <c r="AW51" s="1">
        <v>2</v>
      </c>
      <c r="AX51" t="s">
        <v>35</v>
      </c>
      <c r="AY51">
        <v>5</v>
      </c>
      <c r="AZ51" t="s">
        <v>35</v>
      </c>
      <c r="BA51">
        <v>4</v>
      </c>
      <c r="BB51" t="s">
        <v>35</v>
      </c>
      <c r="BC51">
        <v>4</v>
      </c>
      <c r="BD51" t="s">
        <v>35</v>
      </c>
      <c r="BE51">
        <v>4</v>
      </c>
      <c r="BF51" s="1" t="s">
        <v>36</v>
      </c>
      <c r="BG51" s="1">
        <v>3</v>
      </c>
      <c r="BH51" t="s">
        <v>35</v>
      </c>
      <c r="BI51">
        <v>4</v>
      </c>
      <c r="BJ51" t="s">
        <v>35</v>
      </c>
      <c r="BK51">
        <v>5</v>
      </c>
      <c r="BL51" t="s">
        <v>35</v>
      </c>
      <c r="BM51">
        <v>3</v>
      </c>
      <c r="BN51" t="s">
        <v>35</v>
      </c>
      <c r="BO51">
        <v>4</v>
      </c>
      <c r="BP51" t="s">
        <v>35</v>
      </c>
      <c r="BQ51">
        <v>5</v>
      </c>
      <c r="BR51" s="1" t="s">
        <v>36</v>
      </c>
      <c r="BS51" s="1">
        <v>1</v>
      </c>
      <c r="BU51">
        <f>AVERAGE(BI51:BQ51,AX51:BE51,V51:AS51,G51:S51,)</f>
        <v>4.2068965517241379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62351-8BF0-439A-A0B5-F5D093B36F76}">
  <dimension ref="A1:K35"/>
  <sheetViews>
    <sheetView tabSelected="1" workbookViewId="0">
      <selection activeCell="E38" sqref="E38"/>
    </sheetView>
  </sheetViews>
  <sheetFormatPr defaultRowHeight="14.5" x14ac:dyDescent="0.35"/>
  <sheetData>
    <row r="1" spans="1:11" x14ac:dyDescent="0.3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</row>
    <row r="2" spans="1:11" x14ac:dyDescent="0.35">
      <c r="A2">
        <v>1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</row>
    <row r="3" spans="1:11" x14ac:dyDescent="0.35">
      <c r="A3">
        <v>2</v>
      </c>
      <c r="B3" t="s">
        <v>58</v>
      </c>
      <c r="C3" t="s">
        <v>50</v>
      </c>
      <c r="D3" t="s">
        <v>59</v>
      </c>
      <c r="E3" t="s">
        <v>53</v>
      </c>
      <c r="F3" t="s">
        <v>53</v>
      </c>
      <c r="G3" t="s">
        <v>54</v>
      </c>
      <c r="H3" t="s">
        <v>55</v>
      </c>
      <c r="I3" t="s">
        <v>60</v>
      </c>
      <c r="J3" t="s">
        <v>61</v>
      </c>
    </row>
    <row r="4" spans="1:11" x14ac:dyDescent="0.35">
      <c r="A4">
        <v>3</v>
      </c>
      <c r="B4" t="s">
        <v>62</v>
      </c>
      <c r="C4" t="s">
        <v>50</v>
      </c>
      <c r="D4" t="s">
        <v>63</v>
      </c>
      <c r="E4" t="s">
        <v>53</v>
      </c>
      <c r="F4" t="s">
        <v>53</v>
      </c>
      <c r="G4" t="s">
        <v>54</v>
      </c>
      <c r="H4" t="s">
        <v>64</v>
      </c>
      <c r="I4" t="s">
        <v>60</v>
      </c>
      <c r="J4" t="s">
        <v>57</v>
      </c>
    </row>
    <row r="5" spans="1:11" x14ac:dyDescent="0.35">
      <c r="A5">
        <v>4</v>
      </c>
      <c r="B5" t="s">
        <v>157</v>
      </c>
      <c r="C5" t="s">
        <v>68</v>
      </c>
      <c r="D5" t="s">
        <v>63</v>
      </c>
      <c r="E5" t="s">
        <v>53</v>
      </c>
      <c r="F5" t="s">
        <v>53</v>
      </c>
      <c r="G5" t="s">
        <v>54</v>
      </c>
      <c r="H5" t="s">
        <v>55</v>
      </c>
      <c r="I5" t="s">
        <v>60</v>
      </c>
      <c r="J5" t="s">
        <v>70</v>
      </c>
    </row>
    <row r="6" spans="1:11" x14ac:dyDescent="0.35">
      <c r="A6">
        <v>5</v>
      </c>
      <c r="B6" t="s">
        <v>65</v>
      </c>
      <c r="C6" t="s">
        <v>50</v>
      </c>
      <c r="D6" t="s">
        <v>59</v>
      </c>
      <c r="E6" t="s">
        <v>53</v>
      </c>
      <c r="F6" t="s">
        <v>53</v>
      </c>
      <c r="G6" t="s">
        <v>54</v>
      </c>
      <c r="H6" t="s">
        <v>55</v>
      </c>
      <c r="I6" t="s">
        <v>60</v>
      </c>
      <c r="J6" t="s">
        <v>61</v>
      </c>
    </row>
    <row r="7" spans="1:11" x14ac:dyDescent="0.35">
      <c r="A7">
        <v>6</v>
      </c>
      <c r="B7" t="s">
        <v>66</v>
      </c>
      <c r="C7" t="s">
        <v>50</v>
      </c>
      <c r="D7" t="s">
        <v>51</v>
      </c>
      <c r="E7" t="s">
        <v>53</v>
      </c>
      <c r="F7" t="s">
        <v>53</v>
      </c>
      <c r="G7" t="s">
        <v>54</v>
      </c>
      <c r="H7" t="s">
        <v>55</v>
      </c>
      <c r="I7" t="s">
        <v>60</v>
      </c>
      <c r="J7" t="s">
        <v>57</v>
      </c>
    </row>
    <row r="8" spans="1:11" x14ac:dyDescent="0.35">
      <c r="A8">
        <v>7</v>
      </c>
      <c r="B8" t="s">
        <v>67</v>
      </c>
      <c r="C8" t="s">
        <v>68</v>
      </c>
      <c r="D8" t="s">
        <v>63</v>
      </c>
      <c r="E8" t="s">
        <v>53</v>
      </c>
      <c r="F8" t="s">
        <v>53</v>
      </c>
      <c r="G8" t="s">
        <v>54</v>
      </c>
      <c r="H8" t="s">
        <v>55</v>
      </c>
      <c r="I8" t="s">
        <v>69</v>
      </c>
      <c r="J8" t="s">
        <v>70</v>
      </c>
    </row>
    <row r="9" spans="1:11" x14ac:dyDescent="0.35">
      <c r="A9">
        <v>8</v>
      </c>
      <c r="B9" t="s">
        <v>71</v>
      </c>
      <c r="C9" t="s">
        <v>50</v>
      </c>
      <c r="D9" t="s">
        <v>72</v>
      </c>
      <c r="E9" t="s">
        <v>53</v>
      </c>
      <c r="F9" t="s">
        <v>53</v>
      </c>
      <c r="G9" t="s">
        <v>54</v>
      </c>
      <c r="H9" t="s">
        <v>64</v>
      </c>
      <c r="I9" t="s">
        <v>60</v>
      </c>
      <c r="J9" t="s">
        <v>57</v>
      </c>
    </row>
    <row r="10" spans="1:11" x14ac:dyDescent="0.35">
      <c r="A10">
        <v>9</v>
      </c>
      <c r="B10" t="s">
        <v>73</v>
      </c>
      <c r="C10" t="s">
        <v>68</v>
      </c>
      <c r="D10" t="s">
        <v>51</v>
      </c>
      <c r="E10" t="s">
        <v>53</v>
      </c>
      <c r="F10" t="s">
        <v>53</v>
      </c>
      <c r="G10" t="s">
        <v>54</v>
      </c>
      <c r="H10" t="s">
        <v>55</v>
      </c>
      <c r="I10" t="s">
        <v>56</v>
      </c>
      <c r="J10" t="s">
        <v>57</v>
      </c>
    </row>
    <row r="11" spans="1:11" x14ac:dyDescent="0.35">
      <c r="A11">
        <v>10</v>
      </c>
      <c r="B11" t="s">
        <v>74</v>
      </c>
      <c r="C11" t="s">
        <v>50</v>
      </c>
      <c r="D11" t="s">
        <v>63</v>
      </c>
      <c r="E11" t="s">
        <v>53</v>
      </c>
      <c r="F11" t="s">
        <v>53</v>
      </c>
      <c r="G11" t="s">
        <v>54</v>
      </c>
      <c r="H11" t="s">
        <v>55</v>
      </c>
      <c r="I11" t="s">
        <v>69</v>
      </c>
      <c r="J11" t="s">
        <v>57</v>
      </c>
    </row>
    <row r="12" spans="1:11" x14ac:dyDescent="0.35">
      <c r="A12">
        <v>11</v>
      </c>
      <c r="B12" t="s">
        <v>158</v>
      </c>
      <c r="C12" t="s">
        <v>50</v>
      </c>
      <c r="D12" t="s">
        <v>51</v>
      </c>
      <c r="E12" t="s">
        <v>156</v>
      </c>
      <c r="F12" t="s">
        <v>156</v>
      </c>
      <c r="G12" t="s">
        <v>54</v>
      </c>
      <c r="H12" t="s">
        <v>64</v>
      </c>
      <c r="I12" t="s">
        <v>56</v>
      </c>
      <c r="J12" t="s">
        <v>70</v>
      </c>
    </row>
    <row r="13" spans="1:11" s="2" customFormat="1" x14ac:dyDescent="0.35">
      <c r="A13">
        <v>12</v>
      </c>
      <c r="B13" t="s">
        <v>75</v>
      </c>
      <c r="C13" t="s">
        <v>50</v>
      </c>
      <c r="D13" t="s">
        <v>72</v>
      </c>
      <c r="E13" t="s">
        <v>53</v>
      </c>
      <c r="F13" t="s">
        <v>53</v>
      </c>
      <c r="G13" t="s">
        <v>54</v>
      </c>
      <c r="H13" t="s">
        <v>64</v>
      </c>
      <c r="I13" t="s">
        <v>69</v>
      </c>
      <c r="J13" t="s">
        <v>57</v>
      </c>
      <c r="K13"/>
    </row>
    <row r="14" spans="1:11" x14ac:dyDescent="0.35">
      <c r="A14">
        <v>13</v>
      </c>
      <c r="B14" t="s">
        <v>76</v>
      </c>
      <c r="C14" t="s">
        <v>50</v>
      </c>
      <c r="D14" t="s">
        <v>63</v>
      </c>
      <c r="E14" t="s">
        <v>53</v>
      </c>
      <c r="F14" t="s">
        <v>53</v>
      </c>
      <c r="G14" t="s">
        <v>54</v>
      </c>
      <c r="H14" t="s">
        <v>64</v>
      </c>
      <c r="I14" t="s">
        <v>56</v>
      </c>
      <c r="J14" t="s">
        <v>77</v>
      </c>
    </row>
    <row r="15" spans="1:11" x14ac:dyDescent="0.35">
      <c r="A15">
        <v>14</v>
      </c>
      <c r="B15" t="s">
        <v>78</v>
      </c>
      <c r="C15" t="s">
        <v>50</v>
      </c>
      <c r="D15" t="s">
        <v>72</v>
      </c>
      <c r="E15" t="s">
        <v>53</v>
      </c>
      <c r="F15" t="s">
        <v>53</v>
      </c>
      <c r="G15" t="s">
        <v>54</v>
      </c>
      <c r="H15" t="s">
        <v>64</v>
      </c>
      <c r="I15" t="s">
        <v>56</v>
      </c>
      <c r="J15" t="s">
        <v>70</v>
      </c>
    </row>
    <row r="16" spans="1:11" x14ac:dyDescent="0.35">
      <c r="A16">
        <v>15</v>
      </c>
      <c r="B16" t="s">
        <v>79</v>
      </c>
      <c r="C16" t="s">
        <v>68</v>
      </c>
      <c r="D16" t="s">
        <v>80</v>
      </c>
      <c r="E16" t="s">
        <v>52</v>
      </c>
      <c r="F16" t="s">
        <v>53</v>
      </c>
      <c r="G16" t="s">
        <v>54</v>
      </c>
      <c r="H16" t="s">
        <v>55</v>
      </c>
      <c r="I16" t="s">
        <v>60</v>
      </c>
      <c r="J16" t="s">
        <v>57</v>
      </c>
    </row>
    <row r="17" spans="1:11" x14ac:dyDescent="0.35">
      <c r="A17">
        <v>16</v>
      </c>
      <c r="B17" t="s">
        <v>81</v>
      </c>
      <c r="C17" t="s">
        <v>50</v>
      </c>
      <c r="D17" t="s">
        <v>72</v>
      </c>
      <c r="E17" t="s">
        <v>53</v>
      </c>
      <c r="F17" t="s">
        <v>53</v>
      </c>
      <c r="G17" t="s">
        <v>54</v>
      </c>
      <c r="H17" t="s">
        <v>55</v>
      </c>
      <c r="I17" t="s">
        <v>60</v>
      </c>
      <c r="J17" t="s">
        <v>57</v>
      </c>
    </row>
    <row r="18" spans="1:11" x14ac:dyDescent="0.35">
      <c r="A18">
        <v>17</v>
      </c>
      <c r="B18" t="s">
        <v>159</v>
      </c>
      <c r="C18" t="s">
        <v>68</v>
      </c>
      <c r="D18" t="s">
        <v>63</v>
      </c>
      <c r="E18" t="s">
        <v>52</v>
      </c>
      <c r="F18" t="s">
        <v>53</v>
      </c>
      <c r="G18" t="s">
        <v>54</v>
      </c>
      <c r="H18" t="s">
        <v>84</v>
      </c>
      <c r="I18" t="s">
        <v>60</v>
      </c>
      <c r="J18" t="s">
        <v>57</v>
      </c>
    </row>
    <row r="19" spans="1:11" x14ac:dyDescent="0.35">
      <c r="A19">
        <v>18</v>
      </c>
      <c r="B19" t="s">
        <v>82</v>
      </c>
      <c r="C19" t="s">
        <v>50</v>
      </c>
      <c r="D19" t="s">
        <v>63</v>
      </c>
      <c r="E19" t="s">
        <v>52</v>
      </c>
      <c r="F19" t="s">
        <v>53</v>
      </c>
      <c r="G19" t="s">
        <v>54</v>
      </c>
      <c r="H19" t="s">
        <v>55</v>
      </c>
      <c r="I19" t="s">
        <v>60</v>
      </c>
      <c r="J19" t="s">
        <v>57</v>
      </c>
    </row>
    <row r="20" spans="1:11" x14ac:dyDescent="0.35">
      <c r="A20">
        <v>19</v>
      </c>
      <c r="B20" t="s">
        <v>83</v>
      </c>
      <c r="C20" t="s">
        <v>50</v>
      </c>
      <c r="D20" t="s">
        <v>63</v>
      </c>
      <c r="E20" t="s">
        <v>52</v>
      </c>
      <c r="F20" t="s">
        <v>52</v>
      </c>
      <c r="G20" t="s">
        <v>54</v>
      </c>
      <c r="H20" t="s">
        <v>84</v>
      </c>
      <c r="I20" t="s">
        <v>56</v>
      </c>
      <c r="J20" t="s">
        <v>70</v>
      </c>
    </row>
    <row r="21" spans="1:11" x14ac:dyDescent="0.35">
      <c r="A21">
        <v>20</v>
      </c>
      <c r="B21" t="s">
        <v>85</v>
      </c>
      <c r="C21" t="s">
        <v>50</v>
      </c>
      <c r="D21" t="s">
        <v>72</v>
      </c>
      <c r="E21" t="s">
        <v>53</v>
      </c>
      <c r="F21" t="s">
        <v>53</v>
      </c>
      <c r="G21" t="s">
        <v>54</v>
      </c>
      <c r="H21" t="s">
        <v>55</v>
      </c>
      <c r="I21" t="s">
        <v>60</v>
      </c>
      <c r="J21" t="s">
        <v>57</v>
      </c>
    </row>
    <row r="22" spans="1:11" x14ac:dyDescent="0.35">
      <c r="A22">
        <v>21</v>
      </c>
      <c r="B22" t="s">
        <v>160</v>
      </c>
      <c r="C22" t="s">
        <v>50</v>
      </c>
      <c r="D22" t="s">
        <v>72</v>
      </c>
      <c r="E22" t="s">
        <v>52</v>
      </c>
      <c r="F22" t="s">
        <v>52</v>
      </c>
      <c r="G22" t="s">
        <v>161</v>
      </c>
      <c r="H22" t="s">
        <v>55</v>
      </c>
      <c r="I22" t="s">
        <v>60</v>
      </c>
      <c r="J22" t="s">
        <v>61</v>
      </c>
    </row>
    <row r="23" spans="1:11" x14ac:dyDescent="0.35">
      <c r="A23">
        <v>22</v>
      </c>
      <c r="B23" t="s">
        <v>86</v>
      </c>
      <c r="C23" t="s">
        <v>68</v>
      </c>
      <c r="D23" t="s">
        <v>51</v>
      </c>
      <c r="E23" t="s">
        <v>52</v>
      </c>
      <c r="F23" t="s">
        <v>52</v>
      </c>
      <c r="G23" t="s">
        <v>54</v>
      </c>
      <c r="H23" t="s">
        <v>55</v>
      </c>
      <c r="I23" t="s">
        <v>60</v>
      </c>
      <c r="J23" t="s">
        <v>57</v>
      </c>
    </row>
    <row r="24" spans="1:11" x14ac:dyDescent="0.35">
      <c r="A24">
        <v>23</v>
      </c>
      <c r="B24" t="s">
        <v>87</v>
      </c>
      <c r="C24" t="s">
        <v>68</v>
      </c>
      <c r="D24" t="s">
        <v>63</v>
      </c>
      <c r="E24" t="s">
        <v>53</v>
      </c>
      <c r="F24" t="s">
        <v>53</v>
      </c>
      <c r="G24" t="s">
        <v>54</v>
      </c>
      <c r="H24" t="s">
        <v>55</v>
      </c>
      <c r="I24" t="s">
        <v>56</v>
      </c>
      <c r="J24" t="s">
        <v>57</v>
      </c>
    </row>
    <row r="25" spans="1:11" x14ac:dyDescent="0.35">
      <c r="A25">
        <v>24</v>
      </c>
      <c r="B25" t="s">
        <v>88</v>
      </c>
      <c r="C25" t="s">
        <v>50</v>
      </c>
      <c r="D25" t="s">
        <v>51</v>
      </c>
      <c r="E25" t="s">
        <v>53</v>
      </c>
      <c r="F25" t="s">
        <v>53</v>
      </c>
      <c r="G25" t="s">
        <v>54</v>
      </c>
      <c r="H25" t="s">
        <v>55</v>
      </c>
      <c r="I25" t="s">
        <v>60</v>
      </c>
      <c r="J25" t="s">
        <v>57</v>
      </c>
    </row>
    <row r="26" spans="1:11" s="2" customFormat="1" x14ac:dyDescent="0.35">
      <c r="A26">
        <v>25</v>
      </c>
      <c r="B26" t="s">
        <v>89</v>
      </c>
      <c r="C26" t="s">
        <v>50</v>
      </c>
      <c r="D26" t="s">
        <v>63</v>
      </c>
      <c r="E26" t="s">
        <v>53</v>
      </c>
      <c r="F26" t="s">
        <v>53</v>
      </c>
      <c r="G26" t="s">
        <v>54</v>
      </c>
      <c r="H26" t="s">
        <v>55</v>
      </c>
      <c r="I26" t="s">
        <v>56</v>
      </c>
      <c r="J26" t="s">
        <v>57</v>
      </c>
      <c r="K26"/>
    </row>
    <row r="27" spans="1:11" x14ac:dyDescent="0.35">
      <c r="A27">
        <v>26</v>
      </c>
      <c r="B27" t="s">
        <v>90</v>
      </c>
      <c r="C27" t="s">
        <v>68</v>
      </c>
      <c r="D27" t="s">
        <v>72</v>
      </c>
      <c r="E27" t="s">
        <v>52</v>
      </c>
      <c r="F27" t="s">
        <v>53</v>
      </c>
      <c r="G27" t="s">
        <v>54</v>
      </c>
      <c r="H27" t="s">
        <v>84</v>
      </c>
      <c r="I27" t="s">
        <v>69</v>
      </c>
      <c r="J27" t="s">
        <v>57</v>
      </c>
    </row>
    <row r="28" spans="1:11" x14ac:dyDescent="0.35">
      <c r="A28">
        <v>27</v>
      </c>
      <c r="B28" t="s">
        <v>91</v>
      </c>
      <c r="C28" t="s">
        <v>68</v>
      </c>
      <c r="D28" t="s">
        <v>63</v>
      </c>
      <c r="E28" t="s">
        <v>53</v>
      </c>
      <c r="F28" t="s">
        <v>53</v>
      </c>
      <c r="G28" t="s">
        <v>54</v>
      </c>
      <c r="H28" t="s">
        <v>84</v>
      </c>
      <c r="I28" t="s">
        <v>60</v>
      </c>
      <c r="J28" t="s">
        <v>57</v>
      </c>
    </row>
    <row r="29" spans="1:11" x14ac:dyDescent="0.35">
      <c r="A29">
        <v>28</v>
      </c>
      <c r="B29" t="s">
        <v>92</v>
      </c>
      <c r="C29" t="s">
        <v>50</v>
      </c>
      <c r="D29" t="s">
        <v>51</v>
      </c>
      <c r="E29" t="s">
        <v>53</v>
      </c>
      <c r="F29" t="s">
        <v>53</v>
      </c>
      <c r="G29" t="s">
        <v>54</v>
      </c>
      <c r="H29" t="s">
        <v>55</v>
      </c>
      <c r="I29" t="s">
        <v>60</v>
      </c>
      <c r="J29" t="s">
        <v>57</v>
      </c>
    </row>
    <row r="30" spans="1:11" x14ac:dyDescent="0.35">
      <c r="A30">
        <v>29</v>
      </c>
      <c r="B30" t="s">
        <v>93</v>
      </c>
      <c r="C30" t="s">
        <v>50</v>
      </c>
      <c r="D30" t="s">
        <v>59</v>
      </c>
      <c r="E30" t="s">
        <v>53</v>
      </c>
      <c r="F30" t="s">
        <v>53</v>
      </c>
      <c r="G30" t="s">
        <v>54</v>
      </c>
      <c r="H30" t="s">
        <v>55</v>
      </c>
      <c r="I30" t="s">
        <v>60</v>
      </c>
      <c r="J30" t="s">
        <v>61</v>
      </c>
    </row>
    <row r="31" spans="1:11" x14ac:dyDescent="0.35">
      <c r="A31">
        <v>30</v>
      </c>
      <c r="B31" t="s">
        <v>94</v>
      </c>
      <c r="C31" t="s">
        <v>68</v>
      </c>
      <c r="D31" t="s">
        <v>51</v>
      </c>
      <c r="E31" t="s">
        <v>53</v>
      </c>
      <c r="F31" t="s">
        <v>53</v>
      </c>
      <c r="G31" t="s">
        <v>54</v>
      </c>
      <c r="H31" t="s">
        <v>55</v>
      </c>
      <c r="I31" t="s">
        <v>60</v>
      </c>
      <c r="J31" t="s">
        <v>70</v>
      </c>
    </row>
    <row r="32" spans="1:11" x14ac:dyDescent="0.35">
      <c r="A32">
        <v>31</v>
      </c>
      <c r="B32" t="s">
        <v>95</v>
      </c>
      <c r="C32" t="s">
        <v>50</v>
      </c>
      <c r="D32" t="s">
        <v>63</v>
      </c>
      <c r="E32" t="s">
        <v>53</v>
      </c>
      <c r="F32" t="s">
        <v>53</v>
      </c>
      <c r="G32" t="s">
        <v>54</v>
      </c>
      <c r="H32" t="s">
        <v>55</v>
      </c>
      <c r="I32" t="s">
        <v>56</v>
      </c>
      <c r="J32" t="s">
        <v>57</v>
      </c>
    </row>
    <row r="33" spans="1:10" x14ac:dyDescent="0.35">
      <c r="A33">
        <v>32</v>
      </c>
      <c r="B33" t="s">
        <v>96</v>
      </c>
      <c r="C33" t="s">
        <v>68</v>
      </c>
      <c r="D33" t="s">
        <v>51</v>
      </c>
      <c r="E33" t="s">
        <v>52</v>
      </c>
      <c r="F33" t="s">
        <v>53</v>
      </c>
      <c r="G33" t="s">
        <v>54</v>
      </c>
      <c r="H33" t="s">
        <v>64</v>
      </c>
      <c r="I33" t="s">
        <v>56</v>
      </c>
      <c r="J33" t="s">
        <v>57</v>
      </c>
    </row>
    <row r="34" spans="1:10" x14ac:dyDescent="0.35">
      <c r="A34">
        <v>33</v>
      </c>
      <c r="B34" t="s">
        <v>97</v>
      </c>
      <c r="C34" t="s">
        <v>68</v>
      </c>
      <c r="D34" t="s">
        <v>72</v>
      </c>
      <c r="E34" t="s">
        <v>53</v>
      </c>
      <c r="F34" t="s">
        <v>53</v>
      </c>
      <c r="G34" t="s">
        <v>54</v>
      </c>
      <c r="H34" t="s">
        <v>55</v>
      </c>
      <c r="I34" t="s">
        <v>56</v>
      </c>
      <c r="J34" t="s">
        <v>70</v>
      </c>
    </row>
    <row r="35" spans="1:10" x14ac:dyDescent="0.35">
      <c r="A35">
        <v>34</v>
      </c>
      <c r="B35" t="s">
        <v>98</v>
      </c>
      <c r="C35" t="s">
        <v>50</v>
      </c>
      <c r="D35" t="s">
        <v>51</v>
      </c>
      <c r="E35" t="s">
        <v>52</v>
      </c>
      <c r="F35" t="s">
        <v>52</v>
      </c>
      <c r="G35" t="s">
        <v>54</v>
      </c>
      <c r="H35" t="s">
        <v>55</v>
      </c>
      <c r="I35" t="s">
        <v>60</v>
      </c>
      <c r="J3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Follas de cálculo</vt:lpstr>
      </vt:variant>
      <vt:variant>
        <vt:i4>2</vt:i4>
      </vt:variant>
    </vt:vector>
  </HeadingPairs>
  <TitlesOfParts>
    <vt:vector size="2" baseType="lpstr">
      <vt:lpstr>resultados perceptivos</vt:lpstr>
      <vt:lpstr>participantes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PEREZ LAGO MARIA</dc:creator>
  <cp:lastModifiedBy>PEREZ LAGO MARIA</cp:lastModifiedBy>
  <dcterms:created xsi:type="dcterms:W3CDTF">2026-08-25T17:49:32Z</dcterms:created>
  <dcterms:modified xsi:type="dcterms:W3CDTF">2026-10-22T18:10:51Z</dcterms:modified>
</cp:coreProperties>
</file>